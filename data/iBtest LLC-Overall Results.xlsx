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slicers/slicer3.xml" ContentType="application/vnd.ms-excel.slicer+xml"/>
  <Override PartName="/xl/comments3.xml" ContentType="application/vnd.openxmlformats-officedocument.spreadsheetml.comments+xml"/>
  <Override PartName="/xl/threadedComments/threadedComment3.xml" ContentType="application/vnd.ms-excel.threadedcomments+xml"/>
  <Override PartName="/xl/pivotTables/pivotTable7.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https://ibtest2020.sharepoint.com/sites/Public/Documentos compartidos/05_ENGINEERING/22_USA_Projects/Administrative Items/"/>
    </mc:Choice>
  </mc:AlternateContent>
  <xr:revisionPtr revIDLastSave="0" documentId="8_{F1B3860F-6543-478E-A72D-F9FEB6901211}" xr6:coauthVersionLast="47" xr6:coauthVersionMax="47" xr10:uidLastSave="{00000000-0000-0000-0000-000000000000}"/>
  <bookViews>
    <workbookView xWindow="-120" yWindow="-120" windowWidth="29040" windowHeight="15720" firstSheet="1" activeTab="1" xr2:uid="{75012143-E03D-4F5D-9A8D-0F46BB1FB595}"/>
  </bookViews>
  <sheets>
    <sheet name="Sheet2" sheetId="27" r:id="rId1"/>
    <sheet name="Data Base" sheetId="2" r:id="rId2"/>
    <sheet name="Dashboard" sheetId="16" state="hidden" r:id="rId3"/>
    <sheet name="Gastos" sheetId="21" state="hidden" r:id="rId4"/>
    <sheet name="Sales Goal" sheetId="6" state="hidden" r:id="rId5"/>
    <sheet name="2022" sheetId="11" state="hidden" r:id="rId6"/>
    <sheet name="SAPI-Soporte" sheetId="12" state="hidden" r:id="rId7"/>
    <sheet name="LLC-Soporte" sheetId="13" state="hidden" r:id="rId8"/>
    <sheet name="Tabla Pivotes" sheetId="19" state="hidden" r:id="rId9"/>
    <sheet name="Data Base 2023" sheetId="26" state="hidden" r:id="rId10"/>
    <sheet name="Sheet1" sheetId="22" state="hidden" r:id="rId11"/>
    <sheet name="Sheet3" sheetId="24" state="hidden" r:id="rId12"/>
    <sheet name="Crestron Analysis" sheetId="25" state="hidden" r:id="rId13"/>
  </sheets>
  <definedNames>
    <definedName name="_xlnm._FilterDatabase" localSheetId="5" hidden="1">'2022'!$B$1:$I$17</definedName>
    <definedName name="_xlnm._FilterDatabase" localSheetId="1" hidden="1">'Data Base'!$P$172:$P$172</definedName>
    <definedName name="_xlnm._FilterDatabase" localSheetId="9" hidden="1">'Data Base 2023'!$A$3:$AQ$51</definedName>
    <definedName name="Slicer_Customer1">#N/A</definedName>
    <definedName name="Slicer_Customer2">#N/A</definedName>
    <definedName name="Slicer_Customer21">#N/A</definedName>
    <definedName name="Slicer_Main_BU">#N/A</definedName>
    <definedName name="Slicer_Main_BU1">#N/A</definedName>
    <definedName name="Slicer_Main_BU2">#N/A</definedName>
    <definedName name="Slicer_Month">#N/A</definedName>
    <definedName name="Slicer_Month1">#N/A</definedName>
    <definedName name="Slicer_Months__Invoice_Date">#N/A</definedName>
    <definedName name="Slicer_Status">#N/A</definedName>
    <definedName name="Slicer_Status_f_Invoice">#N/A</definedName>
    <definedName name="Slicer_Status1">#N/A</definedName>
  </definedNames>
  <calcPr calcId="191028"/>
  <pivotCaches>
    <pivotCache cacheId="5880" r:id="rId14"/>
    <pivotCache cacheId="5881"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0"/>
        <x14:slicerCache r:id="rId21"/>
        <x14:slicerCache r:id="rId22"/>
        <x14:slicerCache r:id="rId23"/>
        <x14:slicerCache r:id="rId24"/>
        <x14:slicerCache r:id="rId25"/>
        <x14:slicerCache r:id="rId26"/>
        <x14:slicerCache r:id="rId2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85" i="2" l="1"/>
  <c r="O85" i="2" s="1"/>
  <c r="N84" i="2"/>
  <c r="O84" i="2" s="1"/>
  <c r="AM84" i="2"/>
  <c r="AM85" i="2"/>
  <c r="AK122" i="2"/>
  <c r="AK116" i="2"/>
  <c r="AK121" i="2"/>
  <c r="AK115" i="2"/>
  <c r="AK86" i="2"/>
  <c r="AK85" i="2"/>
  <c r="AK69" i="2"/>
  <c r="AK84" i="2"/>
  <c r="AK66" i="2"/>
  <c r="AK15" i="2"/>
  <c r="AK4" i="2"/>
  <c r="AK5" i="2"/>
  <c r="AK6" i="2"/>
  <c r="AK7" i="2"/>
  <c r="AK8" i="2"/>
  <c r="AK9" i="2"/>
  <c r="AK10" i="2"/>
  <c r="AK11" i="2"/>
  <c r="AK12" i="2"/>
  <c r="AK13" i="2"/>
  <c r="AK14" i="2"/>
  <c r="AK16" i="2"/>
  <c r="AK17" i="2"/>
  <c r="AK18" i="2"/>
  <c r="AK19" i="2"/>
  <c r="AK20" i="2"/>
  <c r="AK21" i="2"/>
  <c r="AK22" i="2"/>
  <c r="AK23" i="2"/>
  <c r="AK24" i="2"/>
  <c r="AK25" i="2"/>
  <c r="AK26" i="2"/>
  <c r="AK27" i="2"/>
  <c r="AK28" i="2"/>
  <c r="AK29" i="2"/>
  <c r="AK30" i="2"/>
  <c r="AK31" i="2"/>
  <c r="AK32" i="2"/>
  <c r="AK33" i="2"/>
  <c r="AK34" i="2"/>
  <c r="AK35" i="2"/>
  <c r="AK36" i="2"/>
  <c r="AK37" i="2"/>
  <c r="AK38" i="2"/>
  <c r="AK39" i="2"/>
  <c r="AK41" i="2"/>
  <c r="AK42" i="2"/>
  <c r="AK43" i="2"/>
  <c r="AK44" i="2"/>
  <c r="AK45" i="2"/>
  <c r="AK47" i="2"/>
  <c r="AK48" i="2"/>
  <c r="AK49" i="2"/>
  <c r="AK50" i="2"/>
  <c r="AK51" i="2"/>
  <c r="AK52" i="2"/>
  <c r="AK53" i="2"/>
  <c r="AK54" i="2"/>
  <c r="AK55" i="2"/>
  <c r="AK56" i="2"/>
  <c r="AK57" i="2"/>
  <c r="AK58" i="2"/>
  <c r="AK59" i="2"/>
  <c r="AK61" i="2"/>
  <c r="AK62" i="2"/>
  <c r="AK63" i="2"/>
  <c r="AK65" i="2"/>
  <c r="AK67" i="2"/>
  <c r="AK68" i="2"/>
  <c r="AK71" i="2"/>
  <c r="AK72" i="2"/>
  <c r="AK73" i="2"/>
  <c r="AK74" i="2"/>
  <c r="AK76" i="2"/>
  <c r="AK77" i="2"/>
  <c r="AK78" i="2"/>
  <c r="AK79" i="2"/>
  <c r="AK81" i="2"/>
  <c r="AK82" i="2"/>
  <c r="AK83" i="2"/>
  <c r="AK88" i="2"/>
  <c r="AK89" i="2"/>
  <c r="AK91" i="2"/>
  <c r="AK92" i="2"/>
  <c r="AK94" i="2"/>
  <c r="AK95" i="2"/>
  <c r="AK96" i="2"/>
  <c r="AK97" i="2"/>
  <c r="AK98" i="2"/>
  <c r="AK99" i="2"/>
  <c r="AK100" i="2"/>
  <c r="AK101" i="2"/>
  <c r="AK102" i="2"/>
  <c r="AK103" i="2"/>
  <c r="AK104" i="2"/>
  <c r="AK105" i="2"/>
  <c r="AK106" i="2"/>
  <c r="AK107" i="2"/>
  <c r="AK108" i="2"/>
  <c r="AK109" i="2"/>
  <c r="AK110" i="2"/>
  <c r="AK111" i="2"/>
  <c r="AK112" i="2"/>
  <c r="AK113" i="2"/>
  <c r="AK114" i="2"/>
  <c r="AK117" i="2"/>
  <c r="AK118" i="2"/>
  <c r="AK119" i="2"/>
  <c r="AK120" i="2"/>
  <c r="L83" i="2"/>
  <c r="L86" i="2"/>
  <c r="U85" i="2"/>
  <c r="W85" i="2"/>
  <c r="U84" i="2"/>
  <c r="W84" i="2"/>
  <c r="AM122" i="2"/>
  <c r="AO122" i="2"/>
  <c r="N122" i="2"/>
  <c r="O122" i="2" s="1"/>
  <c r="U122" i="2"/>
  <c r="W122" i="2"/>
  <c r="AM118" i="2"/>
  <c r="AM119" i="2"/>
  <c r="AM120" i="2"/>
  <c r="AM121" i="2"/>
  <c r="AO121" i="2"/>
  <c r="N121" i="2"/>
  <c r="O121" i="2" s="1"/>
  <c r="U121" i="2"/>
  <c r="W121" i="2"/>
  <c r="AO109" i="2"/>
  <c r="AQ109" i="2" s="1"/>
  <c r="AO110" i="2"/>
  <c r="AO111" i="2"/>
  <c r="AQ111" i="2"/>
  <c r="AO112" i="2"/>
  <c r="AQ112" i="2" s="1"/>
  <c r="AO113" i="2"/>
  <c r="AQ113" i="2"/>
  <c r="AO114" i="2"/>
  <c r="AO115" i="2"/>
  <c r="AO116" i="2"/>
  <c r="AO117" i="2"/>
  <c r="AO118" i="2"/>
  <c r="AO119" i="2"/>
  <c r="AO120" i="2"/>
  <c r="AM110" i="2"/>
  <c r="AM111" i="2"/>
  <c r="AM112" i="2"/>
  <c r="AM113" i="2"/>
  <c r="AM114" i="2"/>
  <c r="AM115" i="2"/>
  <c r="AM116" i="2"/>
  <c r="AM117" i="2"/>
  <c r="N113" i="2"/>
  <c r="O113" i="2" s="1"/>
  <c r="N114" i="2"/>
  <c r="O114" i="2" s="1"/>
  <c r="N115" i="2"/>
  <c r="O115" i="2" s="1"/>
  <c r="N116" i="2"/>
  <c r="O116" i="2" s="1"/>
  <c r="N117" i="2"/>
  <c r="O117" i="2" s="1"/>
  <c r="N118" i="2"/>
  <c r="O118" i="2" s="1"/>
  <c r="N119" i="2"/>
  <c r="O119" i="2"/>
  <c r="N120" i="2"/>
  <c r="O120" i="2"/>
  <c r="N108" i="2"/>
  <c r="O108" i="2" s="1"/>
  <c r="N109" i="2"/>
  <c r="O109" i="2" s="1"/>
  <c r="N110" i="2"/>
  <c r="O110" i="2" s="1"/>
  <c r="N107" i="2"/>
  <c r="O107" i="2" s="1"/>
  <c r="AM107" i="2"/>
  <c r="AM108" i="2"/>
  <c r="L99" i="2"/>
  <c r="L98" i="2"/>
  <c r="L97" i="2"/>
  <c r="L96" i="2"/>
  <c r="L82" i="2"/>
  <c r="L81" i="2"/>
  <c r="AM71" i="2"/>
  <c r="N30" i="2"/>
  <c r="N32" i="2"/>
  <c r="O32" i="2"/>
  <c r="N33" i="2"/>
  <c r="O33" i="2" s="1"/>
  <c r="N34" i="2"/>
  <c r="O34" i="2"/>
  <c r="N95" i="2"/>
  <c r="O95" i="2"/>
  <c r="U115" i="2"/>
  <c r="W115" i="2"/>
  <c r="N80" i="2"/>
  <c r="U80" i="2"/>
  <c r="W80" i="2"/>
  <c r="AM80" i="2"/>
  <c r="N87" i="2"/>
  <c r="O87" i="2"/>
  <c r="U87" i="2"/>
  <c r="W87" i="2"/>
  <c r="AM87" i="2"/>
  <c r="L50" i="2"/>
  <c r="L49" i="2"/>
  <c r="L48" i="2"/>
  <c r="L47" i="2"/>
  <c r="AO47" i="2"/>
  <c r="AQ47" i="2" s="1"/>
  <c r="AM47" i="2"/>
  <c r="W47" i="2"/>
  <c r="U47" i="2"/>
  <c r="N47" i="2"/>
  <c r="O47" i="2" s="1"/>
  <c r="AO50" i="2"/>
  <c r="AQ50" i="2" s="1"/>
  <c r="AM50" i="2"/>
  <c r="W50" i="2"/>
  <c r="U50" i="2"/>
  <c r="N50" i="2"/>
  <c r="O50" i="2" s="1"/>
  <c r="AO49" i="2"/>
  <c r="AQ49" i="2" s="1"/>
  <c r="AM49" i="2"/>
  <c r="W49" i="2"/>
  <c r="U49" i="2"/>
  <c r="N49" i="2"/>
  <c r="O49" i="2" s="1"/>
  <c r="AO48" i="2"/>
  <c r="AQ48" i="2" s="1"/>
  <c r="AM48" i="2"/>
  <c r="W48" i="2"/>
  <c r="U48" i="2"/>
  <c r="N48" i="2"/>
  <c r="O48" i="2" s="1"/>
  <c r="W70" i="2"/>
  <c r="U70" i="2"/>
  <c r="W75" i="2"/>
  <c r="U75" i="2"/>
  <c r="U114" i="2"/>
  <c r="W114" i="2"/>
  <c r="U110" i="2"/>
  <c r="U107" i="2"/>
  <c r="W107" i="2"/>
  <c r="AO78" i="2"/>
  <c r="AQ78" i="2"/>
  <c r="AO73" i="2"/>
  <c r="AQ73" i="2" s="1"/>
  <c r="AO74" i="2"/>
  <c r="AQ74" i="2"/>
  <c r="AO66" i="2"/>
  <c r="AQ66" i="2" s="1"/>
  <c r="AO51" i="2"/>
  <c r="AK10" i="27"/>
  <c r="AO77" i="2"/>
  <c r="AQ77" i="2" s="1"/>
  <c r="AO86" i="2"/>
  <c r="AO100" i="2"/>
  <c r="AQ100" i="2" s="1"/>
  <c r="AM86" i="2"/>
  <c r="AM88" i="2"/>
  <c r="AM76" i="2"/>
  <c r="AM77" i="2"/>
  <c r="AM78" i="2"/>
  <c r="AM79" i="2"/>
  <c r="AM72" i="2"/>
  <c r="AM73" i="2"/>
  <c r="AM74" i="2"/>
  <c r="AM66" i="2"/>
  <c r="AM67" i="2"/>
  <c r="AM51" i="2"/>
  <c r="AM52" i="2"/>
  <c r="U51" i="2"/>
  <c r="W51" i="2"/>
  <c r="N46" i="2"/>
  <c r="O46" i="2" s="1"/>
  <c r="L74" i="2"/>
  <c r="L72" i="2"/>
  <c r="L73" i="2"/>
  <c r="L71" i="2"/>
  <c r="N71" i="2"/>
  <c r="O71" i="2" s="1"/>
  <c r="N72" i="2"/>
  <c r="O72" i="2" s="1"/>
  <c r="L78" i="2"/>
  <c r="L77" i="2"/>
  <c r="L76" i="2"/>
  <c r="L79" i="2"/>
  <c r="N79" i="2" s="1"/>
  <c r="U77" i="2"/>
  <c r="W77" i="2"/>
  <c r="U78" i="2"/>
  <c r="W78" i="2"/>
  <c r="U74" i="2"/>
  <c r="W74" i="2"/>
  <c r="U73" i="2"/>
  <c r="W73" i="2"/>
  <c r="L66" i="2"/>
  <c r="L64" i="2"/>
  <c r="N64" i="2"/>
  <c r="O64" i="2" s="1"/>
  <c r="L65" i="2"/>
  <c r="U66" i="2"/>
  <c r="W66" i="2"/>
  <c r="U86" i="2"/>
  <c r="W86" i="2"/>
  <c r="AO99" i="2"/>
  <c r="AQ99" i="2" s="1"/>
  <c r="AM99" i="2"/>
  <c r="U99" i="2"/>
  <c r="W99"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52" i="2"/>
  <c r="U53" i="2"/>
  <c r="U54" i="2"/>
  <c r="U55" i="2"/>
  <c r="U56" i="2"/>
  <c r="U57" i="2"/>
  <c r="U58" i="2"/>
  <c r="U59" i="2"/>
  <c r="U60" i="2"/>
  <c r="U61" i="2"/>
  <c r="U62" i="2"/>
  <c r="U63" i="2"/>
  <c r="U64" i="2"/>
  <c r="U65" i="2"/>
  <c r="U67" i="2"/>
  <c r="U68" i="2"/>
  <c r="U69" i="2"/>
  <c r="U71" i="2"/>
  <c r="U72" i="2"/>
  <c r="U76" i="2"/>
  <c r="U79" i="2"/>
  <c r="U81" i="2"/>
  <c r="U82" i="2"/>
  <c r="U83" i="2"/>
  <c r="U88" i="2"/>
  <c r="U89" i="2"/>
  <c r="U90" i="2"/>
  <c r="U91" i="2"/>
  <c r="U92" i="2"/>
  <c r="U93" i="2"/>
  <c r="U94" i="2"/>
  <c r="U95" i="2"/>
  <c r="U96" i="2"/>
  <c r="U97" i="2"/>
  <c r="U98" i="2"/>
  <c r="U100" i="2"/>
  <c r="U101" i="2"/>
  <c r="U102" i="2"/>
  <c r="U103" i="2"/>
  <c r="U104" i="2"/>
  <c r="U105" i="2"/>
  <c r="U106" i="2"/>
  <c r="U108" i="2"/>
  <c r="U109" i="2"/>
  <c r="U111" i="2"/>
  <c r="U112" i="2"/>
  <c r="U113" i="2"/>
  <c r="U116" i="2"/>
  <c r="U117" i="2"/>
  <c r="U118" i="2"/>
  <c r="U119" i="2"/>
  <c r="U120"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52" i="2"/>
  <c r="W53" i="2"/>
  <c r="W54" i="2"/>
  <c r="W55" i="2"/>
  <c r="W56" i="2"/>
  <c r="W57" i="2"/>
  <c r="W58" i="2"/>
  <c r="W59" i="2"/>
  <c r="W60" i="2"/>
  <c r="W61" i="2"/>
  <c r="W62" i="2"/>
  <c r="W63" i="2"/>
  <c r="W64" i="2"/>
  <c r="W65" i="2"/>
  <c r="W67" i="2"/>
  <c r="W68" i="2"/>
  <c r="W69" i="2"/>
  <c r="W71" i="2"/>
  <c r="W72" i="2"/>
  <c r="W76" i="2"/>
  <c r="W79" i="2"/>
  <c r="W81" i="2"/>
  <c r="W82" i="2"/>
  <c r="W83" i="2"/>
  <c r="W88" i="2"/>
  <c r="W89" i="2"/>
  <c r="W90" i="2"/>
  <c r="W91" i="2"/>
  <c r="W92" i="2"/>
  <c r="W93" i="2"/>
  <c r="W94" i="2"/>
  <c r="W95" i="2"/>
  <c r="W96" i="2"/>
  <c r="W97" i="2"/>
  <c r="W98" i="2"/>
  <c r="W100" i="2"/>
  <c r="W101" i="2"/>
  <c r="W102" i="2"/>
  <c r="W103" i="2"/>
  <c r="W104" i="2"/>
  <c r="W105" i="2"/>
  <c r="W106" i="2"/>
  <c r="W108" i="2"/>
  <c r="W109" i="2"/>
  <c r="W111" i="2"/>
  <c r="W112" i="2"/>
  <c r="W113" i="2"/>
  <c r="W116" i="2"/>
  <c r="W117" i="2"/>
  <c r="W118" i="2"/>
  <c r="W119" i="2"/>
  <c r="W120"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AO108" i="2"/>
  <c r="AQ108" i="2" s="1"/>
  <c r="AO105" i="2"/>
  <c r="AQ105" i="2" s="1"/>
  <c r="AO104" i="2"/>
  <c r="AQ104" i="2"/>
  <c r="AO103" i="2"/>
  <c r="AQ103" i="2" s="1"/>
  <c r="AO102" i="2"/>
  <c r="AQ102" i="2"/>
  <c r="AO101" i="2"/>
  <c r="AQ101" i="2"/>
  <c r="AM109" i="2"/>
  <c r="AM106" i="2"/>
  <c r="AO106" i="2"/>
  <c r="AQ106" i="2" s="1"/>
  <c r="AM105" i="2"/>
  <c r="AM104" i="2"/>
  <c r="AM103" i="2"/>
  <c r="AM102" i="2"/>
  <c r="AM101" i="2"/>
  <c r="AM100" i="2"/>
  <c r="AO83" i="2"/>
  <c r="AM83" i="2"/>
  <c r="AO44" i="2"/>
  <c r="AQ44" i="2" s="1"/>
  <c r="AM44" i="2"/>
  <c r="AM42" i="2"/>
  <c r="AM43" i="2"/>
  <c r="AO36" i="2"/>
  <c r="AQ36" i="2"/>
  <c r="AM36" i="2"/>
  <c r="AO56" i="2"/>
  <c r="AQ56" i="2"/>
  <c r="AO58" i="2"/>
  <c r="AQ58" i="2" s="1"/>
  <c r="AM58" i="2"/>
  <c r="AM56" i="2"/>
  <c r="AO60" i="2"/>
  <c r="AQ60" i="2" s="1"/>
  <c r="AM60" i="2"/>
  <c r="AM61" i="2"/>
  <c r="AM62" i="2"/>
  <c r="AM63" i="2"/>
  <c r="AM64" i="2"/>
  <c r="AM65" i="2"/>
  <c r="AM68" i="2"/>
  <c r="AM69" i="2"/>
  <c r="AM81" i="2"/>
  <c r="AM82" i="2"/>
  <c r="AM89" i="2"/>
  <c r="AM90" i="2"/>
  <c r="AM91" i="2"/>
  <c r="AM92" i="2"/>
  <c r="AM93" i="2"/>
  <c r="AM94" i="2"/>
  <c r="AM95" i="2"/>
  <c r="AM96" i="2"/>
  <c r="AM97" i="2"/>
  <c r="AM98" i="2"/>
  <c r="AO98" i="2"/>
  <c r="AQ98" i="2" s="1"/>
  <c r="AO97" i="2"/>
  <c r="AQ97" i="2" s="1"/>
  <c r="AO96" i="2"/>
  <c r="AQ96" i="2"/>
  <c r="AM21" i="2"/>
  <c r="AO26" i="2"/>
  <c r="AQ26" i="2" s="1"/>
  <c r="AM26" i="2"/>
  <c r="N26" i="2"/>
  <c r="O26" i="2" s="1"/>
  <c r="AO8" i="2"/>
  <c r="AQ8" i="2"/>
  <c r="AM8" i="2"/>
  <c r="N8" i="2"/>
  <c r="O8" i="2" s="1"/>
  <c r="AM15" i="2"/>
  <c r="AM16" i="2"/>
  <c r="AO40" i="2"/>
  <c r="AQ40" i="2" s="1"/>
  <c r="AM40" i="2"/>
  <c r="AO24" i="2"/>
  <c r="AQ24" i="2"/>
  <c r="AM24" i="2"/>
  <c r="AO95" i="2"/>
  <c r="AQ95" i="2" s="1"/>
  <c r="AO94" i="2"/>
  <c r="AQ94" i="2" s="1"/>
  <c r="N94" i="2"/>
  <c r="O94" i="2"/>
  <c r="AO93" i="2"/>
  <c r="AQ93" i="2" s="1"/>
  <c r="N93" i="2"/>
  <c r="O93" i="2" s="1"/>
  <c r="N92" i="2"/>
  <c r="O92" i="2" s="1"/>
  <c r="AO92" i="2"/>
  <c r="AQ92" i="2" s="1"/>
  <c r="AO91" i="2"/>
  <c r="AQ91" i="2" s="1"/>
  <c r="N91" i="2"/>
  <c r="O91" i="2" s="1"/>
  <c r="N81" i="2"/>
  <c r="O81" i="2"/>
  <c r="AO90" i="2"/>
  <c r="AQ90" i="2"/>
  <c r="O90" i="2"/>
  <c r="M90" i="2"/>
  <c r="AO89" i="2"/>
  <c r="AQ89" i="2" s="1"/>
  <c r="M89" i="2"/>
  <c r="O89" i="2"/>
  <c r="AO88" i="2"/>
  <c r="AQ88" i="2" s="1"/>
  <c r="O88" i="2"/>
  <c r="M88" i="2"/>
  <c r="O68" i="2"/>
  <c r="O69" i="2"/>
  <c r="M68" i="2"/>
  <c r="M69" i="2"/>
  <c r="AO68" i="2"/>
  <c r="AQ68" i="2" s="1"/>
  <c r="AO69" i="2"/>
  <c r="AQ69" i="2"/>
  <c r="AO71" i="2"/>
  <c r="AQ71" i="2" s="1"/>
  <c r="AO72" i="2"/>
  <c r="AQ72" i="2" s="1"/>
  <c r="AO76" i="2"/>
  <c r="AQ76" i="2"/>
  <c r="AO79" i="2"/>
  <c r="AQ79" i="2" s="1"/>
  <c r="AO81" i="2"/>
  <c r="AQ81" i="2" s="1"/>
  <c r="AO82" i="2"/>
  <c r="AQ82" i="2" s="1"/>
  <c r="N82" i="2"/>
  <c r="O82" i="2" s="1"/>
  <c r="AQ67" i="2"/>
  <c r="O67" i="2"/>
  <c r="M67" i="2"/>
  <c r="AO64" i="2"/>
  <c r="AQ64" i="2" s="1"/>
  <c r="AO65" i="2"/>
  <c r="AQ65" i="2" s="1"/>
  <c r="AO63" i="2"/>
  <c r="AQ63" i="2"/>
  <c r="M63" i="2"/>
  <c r="O63" i="2"/>
  <c r="AO62" i="2"/>
  <c r="AQ62" i="2"/>
  <c r="M62" i="2"/>
  <c r="O62" i="2"/>
  <c r="AO61" i="2"/>
  <c r="AQ61" i="2" s="1"/>
  <c r="O61" i="2"/>
  <c r="M61" i="2"/>
  <c r="AO59" i="2"/>
  <c r="AQ59" i="2" s="1"/>
  <c r="AM59" i="2"/>
  <c r="M59" i="2"/>
  <c r="O59" i="2"/>
  <c r="AO37" i="2"/>
  <c r="AQ37" i="2"/>
  <c r="AO38" i="2"/>
  <c r="AQ38" i="2" s="1"/>
  <c r="AO39" i="2"/>
  <c r="AQ39" i="2"/>
  <c r="AO41" i="2"/>
  <c r="AQ41" i="2"/>
  <c r="AO45" i="2"/>
  <c r="AQ45" i="2"/>
  <c r="AO46" i="2"/>
  <c r="AQ46" i="2"/>
  <c r="AO52" i="2"/>
  <c r="AQ52" i="2" s="1"/>
  <c r="AO53" i="2"/>
  <c r="AQ53" i="2" s="1"/>
  <c r="AO54" i="2"/>
  <c r="AQ54" i="2" s="1"/>
  <c r="AO55" i="2"/>
  <c r="AQ55" i="2" s="1"/>
  <c r="AO57" i="2"/>
  <c r="AQ57" i="2" s="1"/>
  <c r="AM37" i="2"/>
  <c r="AM38" i="2"/>
  <c r="AM39" i="2"/>
  <c r="AM41" i="2"/>
  <c r="AM45" i="2"/>
  <c r="AM46" i="2"/>
  <c r="AM53" i="2"/>
  <c r="AM54" i="2"/>
  <c r="AM55" i="2"/>
  <c r="AM57" i="2"/>
  <c r="O38" i="2"/>
  <c r="O45" i="2"/>
  <c r="O52" i="2"/>
  <c r="O53" i="2"/>
  <c r="O54" i="2"/>
  <c r="O55" i="2"/>
  <c r="O57" i="2"/>
  <c r="O37" i="2"/>
  <c r="M45" i="2"/>
  <c r="M52" i="2"/>
  <c r="M53" i="2"/>
  <c r="M54" i="2"/>
  <c r="M55" i="2"/>
  <c r="M57" i="2"/>
  <c r="M38" i="2"/>
  <c r="M37" i="2"/>
  <c r="N39" i="2"/>
  <c r="O39" i="2"/>
  <c r="AO34" i="2"/>
  <c r="AQ34" i="2" s="1"/>
  <c r="AO35" i="2"/>
  <c r="AQ35" i="2" s="1"/>
  <c r="AM34" i="2"/>
  <c r="AM35" i="2"/>
  <c r="N35" i="2"/>
  <c r="O35" i="2" s="1"/>
  <c r="AO28" i="2"/>
  <c r="AQ28" i="2" s="1"/>
  <c r="AM28" i="2"/>
  <c r="N28" i="2"/>
  <c r="O28" i="2" s="1"/>
  <c r="AO32" i="2"/>
  <c r="AQ32" i="2" s="1"/>
  <c r="AO33" i="2"/>
  <c r="AQ33" i="2" s="1"/>
  <c r="AM32" i="2"/>
  <c r="AM33" i="2"/>
  <c r="AO31" i="2"/>
  <c r="AQ31" i="2" s="1"/>
  <c r="AM31" i="2"/>
  <c r="L5" i="2"/>
  <c r="L4" i="2"/>
  <c r="AO30" i="2"/>
  <c r="AQ30" i="2"/>
  <c r="AM30" i="2"/>
  <c r="AO29" i="2"/>
  <c r="AQ29" i="2" s="1"/>
  <c r="AM29" i="2"/>
  <c r="L29" i="2"/>
  <c r="N29" i="2"/>
  <c r="O29" i="2" s="1"/>
  <c r="AO27" i="2"/>
  <c r="AQ27" i="2" s="1"/>
  <c r="AM27" i="2"/>
  <c r="M27" i="2"/>
  <c r="O27" i="2"/>
  <c r="AM25" i="2"/>
  <c r="AM23" i="2"/>
  <c r="AM22" i="2"/>
  <c r="AM20" i="2"/>
  <c r="AM19" i="2"/>
  <c r="AM18" i="2"/>
  <c r="AM17" i="2"/>
  <c r="AO25" i="2"/>
  <c r="AQ25" i="2"/>
  <c r="AO23" i="2"/>
  <c r="AQ23" i="2" s="1"/>
  <c r="AO22" i="2"/>
  <c r="AQ22" i="2" s="1"/>
  <c r="AO21" i="2"/>
  <c r="AQ21" i="2"/>
  <c r="AO20" i="2"/>
  <c r="AQ20" i="2" s="1"/>
  <c r="AO19" i="2"/>
  <c r="AQ19" i="2" s="1"/>
  <c r="AO18" i="2"/>
  <c r="AQ18" i="2" s="1"/>
  <c r="AO17" i="2"/>
  <c r="AQ17" i="2" s="1"/>
  <c r="AO16" i="2"/>
  <c r="AQ16" i="2" s="1"/>
  <c r="AO15" i="2"/>
  <c r="AQ15" i="2" s="1"/>
  <c r="M25" i="2"/>
  <c r="O25" i="2"/>
  <c r="M23" i="2"/>
  <c r="O23" i="2"/>
  <c r="O20" i="2"/>
  <c r="O21" i="2"/>
  <c r="O22" i="2"/>
  <c r="M20" i="2"/>
  <c r="M21" i="2"/>
  <c r="M22" i="2"/>
  <c r="M19" i="2"/>
  <c r="O19" i="2"/>
  <c r="N17" i="2"/>
  <c r="O17" i="2" s="1"/>
  <c r="M17" i="2"/>
  <c r="N18" i="2"/>
  <c r="M18" i="2" s="1"/>
  <c r="M16" i="2"/>
  <c r="O16" i="2"/>
  <c r="M15" i="2"/>
  <c r="O15" i="2"/>
  <c r="AO11" i="2"/>
  <c r="AQ11" i="2" s="1"/>
  <c r="AM11" i="2"/>
  <c r="N11" i="2"/>
  <c r="AO12" i="2"/>
  <c r="AQ12" i="2" s="1"/>
  <c r="AO13" i="2"/>
  <c r="AQ13" i="2" s="1"/>
  <c r="AO14" i="2"/>
  <c r="AQ14" i="2"/>
  <c r="AM12" i="2"/>
  <c r="AM13" i="2"/>
  <c r="AM14" i="2"/>
  <c r="M12" i="2"/>
  <c r="M13" i="2"/>
  <c r="M14" i="2"/>
  <c r="O12" i="2"/>
  <c r="O13" i="2"/>
  <c r="O14" i="2"/>
  <c r="AO9" i="2"/>
  <c r="AQ9" i="2" s="1"/>
  <c r="AO10" i="2"/>
  <c r="AQ10" i="2" s="1"/>
  <c r="AO7" i="2"/>
  <c r="AQ7" i="2"/>
  <c r="AM7" i="2"/>
  <c r="AM9" i="2"/>
  <c r="AM10" i="2"/>
  <c r="O9" i="2"/>
  <c r="O10" i="2"/>
  <c r="M10" i="2"/>
  <c r="M9" i="2"/>
  <c r="AK97" i="26"/>
  <c r="O97" i="26"/>
  <c r="L96" i="26"/>
  <c r="AK96" i="26"/>
  <c r="AO95" i="26"/>
  <c r="AQ95" i="26"/>
  <c r="AM95" i="26"/>
  <c r="AO94" i="26"/>
  <c r="AQ94" i="26"/>
  <c r="AM94" i="26"/>
  <c r="O94" i="26"/>
  <c r="M94" i="26"/>
  <c r="AO93" i="26"/>
  <c r="AQ93" i="26"/>
  <c r="AM93" i="26"/>
  <c r="AK93" i="26"/>
  <c r="AK92" i="26"/>
  <c r="O92" i="26"/>
  <c r="M92" i="26"/>
  <c r="AQ91" i="26"/>
  <c r="AO91" i="26"/>
  <c r="AM91" i="26"/>
  <c r="AK91" i="26"/>
  <c r="AK90" i="26"/>
  <c r="O90" i="26"/>
  <c r="M90" i="26"/>
  <c r="AO89" i="26"/>
  <c r="AQ89" i="26"/>
  <c r="AM89" i="26"/>
  <c r="AK89" i="26"/>
  <c r="AK88" i="26"/>
  <c r="O88" i="26"/>
  <c r="M88" i="26"/>
  <c r="AO87" i="26"/>
  <c r="AQ87" i="26"/>
  <c r="AM87" i="26"/>
  <c r="AK87" i="26"/>
  <c r="AK86" i="26"/>
  <c r="AO84" i="26"/>
  <c r="AQ84" i="26"/>
  <c r="AM84" i="26"/>
  <c r="AK84" i="26"/>
  <c r="O84" i="26"/>
  <c r="M84" i="26"/>
  <c r="AO83" i="26"/>
  <c r="AQ83" i="26"/>
  <c r="AM83" i="26"/>
  <c r="AK83" i="26"/>
  <c r="O83" i="26"/>
  <c r="M83" i="26"/>
  <c r="AO82" i="26"/>
  <c r="AQ82" i="26"/>
  <c r="AM82" i="26"/>
  <c r="AK82" i="26"/>
  <c r="O82" i="26"/>
  <c r="M82" i="26"/>
  <c r="AO81" i="26"/>
  <c r="AQ81" i="26"/>
  <c r="AM81" i="26"/>
  <c r="AK81" i="26"/>
  <c r="S81" i="26"/>
  <c r="O81" i="26"/>
  <c r="M81" i="26"/>
  <c r="AO80" i="26"/>
  <c r="AQ80" i="26"/>
  <c r="AM80" i="26"/>
  <c r="AK80" i="26"/>
  <c r="O80" i="26"/>
  <c r="M80" i="26"/>
  <c r="AQ79" i="26"/>
  <c r="AO79" i="26"/>
  <c r="AM79" i="26"/>
  <c r="O79" i="26"/>
  <c r="M79" i="26"/>
  <c r="AO78" i="26"/>
  <c r="AQ78" i="26"/>
  <c r="AM78" i="26"/>
  <c r="O78" i="26"/>
  <c r="M78" i="26"/>
  <c r="AQ77" i="26"/>
  <c r="AO77" i="26"/>
  <c r="AM77" i="26"/>
  <c r="M77" i="26"/>
  <c r="AO76" i="26"/>
  <c r="AQ76" i="26"/>
  <c r="AM76" i="26"/>
  <c r="AK76" i="26"/>
  <c r="M76" i="26"/>
  <c r="AQ75" i="26"/>
  <c r="AM75" i="26"/>
  <c r="N75" i="26"/>
  <c r="M75" i="26"/>
  <c r="AO74" i="26"/>
  <c r="AQ74" i="26"/>
  <c r="AM74" i="26"/>
  <c r="AK74" i="26"/>
  <c r="AO73" i="26"/>
  <c r="AQ73" i="26"/>
  <c r="AM73" i="26"/>
  <c r="AK73" i="26"/>
  <c r="AQ72" i="26"/>
  <c r="AO72" i="26"/>
  <c r="AM72" i="26"/>
  <c r="AK72" i="26"/>
  <c r="AQ71" i="26"/>
  <c r="AM71" i="26"/>
  <c r="AK71" i="26"/>
  <c r="M71" i="26"/>
  <c r="AO70" i="26"/>
  <c r="AQ70" i="26"/>
  <c r="AM70" i="26"/>
  <c r="AK70" i="26"/>
  <c r="M70" i="26"/>
  <c r="AQ69" i="26"/>
  <c r="M69" i="26"/>
  <c r="AO68" i="26"/>
  <c r="AQ68" i="26"/>
  <c r="AM68" i="26"/>
  <c r="AK68" i="26"/>
  <c r="W68" i="26"/>
  <c r="P68" i="26"/>
  <c r="R68" i="26"/>
  <c r="S68" i="26"/>
  <c r="M68" i="26"/>
  <c r="AO67" i="26"/>
  <c r="AQ67" i="26"/>
  <c r="AM67" i="26"/>
  <c r="AK67" i="26"/>
  <c r="AJ67" i="26"/>
  <c r="S67" i="26"/>
  <c r="M67" i="26"/>
  <c r="AO66" i="26"/>
  <c r="AQ66" i="26"/>
  <c r="AM66" i="26"/>
  <c r="AK66" i="26"/>
  <c r="AJ66" i="26"/>
  <c r="S66" i="26"/>
  <c r="M66" i="26"/>
  <c r="AO65" i="26"/>
  <c r="AQ65" i="26"/>
  <c r="AM65" i="26"/>
  <c r="AK65" i="26"/>
  <c r="AJ65" i="26"/>
  <c r="P65" i="26"/>
  <c r="R65" i="26"/>
  <c r="S65" i="26"/>
  <c r="M65" i="26"/>
  <c r="AO64" i="26"/>
  <c r="AQ64" i="26"/>
  <c r="AM64" i="26"/>
  <c r="AK64" i="26"/>
  <c r="AJ64" i="26"/>
  <c r="AO63" i="26"/>
  <c r="AQ63" i="26"/>
  <c r="AM63" i="26"/>
  <c r="AK63" i="26"/>
  <c r="AJ63" i="26"/>
  <c r="V63" i="26"/>
  <c r="P63" i="26"/>
  <c r="U63" i="26"/>
  <c r="O63" i="26"/>
  <c r="N63" i="26"/>
  <c r="AO62" i="26"/>
  <c r="AQ62" i="26"/>
  <c r="AM62" i="26"/>
  <c r="AK62" i="26"/>
  <c r="AJ62" i="26"/>
  <c r="AO61" i="26"/>
  <c r="AQ61" i="26"/>
  <c r="AM61" i="26"/>
  <c r="AK61" i="26"/>
  <c r="AJ61" i="26"/>
  <c r="V61" i="26"/>
  <c r="P61" i="26"/>
  <c r="U61" i="26"/>
  <c r="O61" i="26"/>
  <c r="N61" i="26"/>
  <c r="AO60" i="26"/>
  <c r="AQ60" i="26"/>
  <c r="AM60" i="26"/>
  <c r="AK60" i="26"/>
  <c r="AJ60" i="26"/>
  <c r="W60" i="26"/>
  <c r="P60" i="26"/>
  <c r="R60" i="26"/>
  <c r="S60" i="26"/>
  <c r="M60" i="26"/>
  <c r="AO59" i="26"/>
  <c r="AQ59" i="26"/>
  <c r="AM59" i="26"/>
  <c r="AK59" i="26"/>
  <c r="Z59" i="26"/>
  <c r="W59" i="26"/>
  <c r="S59" i="26"/>
  <c r="R59" i="26"/>
  <c r="P59" i="26"/>
  <c r="M59" i="26"/>
  <c r="AQ58" i="26"/>
  <c r="AM58" i="26"/>
  <c r="AK58" i="26"/>
  <c r="Z58" i="26"/>
  <c r="W58" i="26"/>
  <c r="R58" i="26"/>
  <c r="S58" i="26"/>
  <c r="P58" i="26"/>
  <c r="M58" i="26"/>
  <c r="AO57" i="26"/>
  <c r="AQ57" i="26"/>
  <c r="AM57" i="26"/>
  <c r="AK57" i="26"/>
  <c r="Z57" i="26"/>
  <c r="W57" i="26"/>
  <c r="P57" i="26"/>
  <c r="O57" i="26"/>
  <c r="N57" i="26"/>
  <c r="M57" i="26"/>
  <c r="AO56" i="26"/>
  <c r="AQ56" i="26"/>
  <c r="AM56" i="26"/>
  <c r="AK56" i="26"/>
  <c r="W56" i="26"/>
  <c r="P56" i="26"/>
  <c r="N56" i="26"/>
  <c r="M56" i="26"/>
  <c r="AO55" i="26"/>
  <c r="AQ55" i="26"/>
  <c r="AM55" i="26"/>
  <c r="AK55" i="26"/>
  <c r="Z55" i="26"/>
  <c r="W55" i="26"/>
  <c r="P55" i="26"/>
  <c r="R55" i="26"/>
  <c r="S55" i="26"/>
  <c r="M55" i="26"/>
  <c r="AO54" i="26"/>
  <c r="AQ54" i="26"/>
  <c r="AM54" i="26"/>
  <c r="AK54" i="26"/>
  <c r="W54" i="26"/>
  <c r="P54" i="26"/>
  <c r="N54" i="26"/>
  <c r="M54" i="26"/>
  <c r="AO53" i="26"/>
  <c r="AQ53" i="26"/>
  <c r="AM53" i="26"/>
  <c r="AK53" i="26"/>
  <c r="Z53" i="26"/>
  <c r="W53" i="26"/>
  <c r="P53" i="26"/>
  <c r="N53" i="26"/>
  <c r="M53" i="26"/>
  <c r="AO52" i="26"/>
  <c r="AQ52" i="26"/>
  <c r="AM52" i="26"/>
  <c r="AJ52" i="26"/>
  <c r="Z52" i="26"/>
  <c r="W52" i="26"/>
  <c r="P52" i="26"/>
  <c r="R52" i="26"/>
  <c r="S52" i="26"/>
  <c r="M52" i="26"/>
  <c r="AO51" i="26"/>
  <c r="AQ51" i="26"/>
  <c r="AM51" i="26"/>
  <c r="AK51" i="26"/>
  <c r="AJ51" i="26"/>
  <c r="W51" i="26"/>
  <c r="P51" i="26"/>
  <c r="N51" i="26"/>
  <c r="M51" i="26"/>
  <c r="AQ50" i="26"/>
  <c r="AM50" i="26"/>
  <c r="AK50" i="26"/>
  <c r="Z50" i="26"/>
  <c r="W50" i="26"/>
  <c r="P50" i="26"/>
  <c r="R50" i="26"/>
  <c r="S50" i="26"/>
  <c r="M50" i="26"/>
  <c r="AO49" i="26"/>
  <c r="AQ49" i="26"/>
  <c r="AM49" i="26"/>
  <c r="AK49" i="26"/>
  <c r="AJ49" i="26"/>
  <c r="W49" i="26"/>
  <c r="P49" i="26"/>
  <c r="O49" i="26"/>
  <c r="L49" i="26"/>
  <c r="N49" i="26"/>
  <c r="M49" i="26"/>
  <c r="AO48" i="26"/>
  <c r="AQ48" i="26"/>
  <c r="AM48" i="26"/>
  <c r="AK48" i="26"/>
  <c r="AC48" i="26"/>
  <c r="Z48" i="26"/>
  <c r="W48" i="26"/>
  <c r="P48" i="26"/>
  <c r="R48" i="26"/>
  <c r="S48" i="26"/>
  <c r="M48" i="26"/>
  <c r="AQ47" i="26"/>
  <c r="AO47" i="26"/>
  <c r="AM47" i="26"/>
  <c r="AK47" i="26"/>
  <c r="AJ47" i="26"/>
  <c r="Z47" i="26"/>
  <c r="W47" i="26"/>
  <c r="P47" i="26"/>
  <c r="N47" i="26"/>
  <c r="M47" i="26"/>
  <c r="AO46" i="26"/>
  <c r="AQ46" i="26"/>
  <c r="AM46" i="26"/>
  <c r="AJ46" i="26"/>
  <c r="AO45" i="26"/>
  <c r="AQ45" i="26"/>
  <c r="AM45" i="26"/>
  <c r="AJ45" i="26"/>
  <c r="AC45" i="26"/>
  <c r="Z45" i="26"/>
  <c r="W45" i="26"/>
  <c r="P45" i="26"/>
  <c r="R45" i="26"/>
  <c r="S45" i="26"/>
  <c r="M45" i="26"/>
  <c r="AQ44" i="26"/>
  <c r="AO44" i="26"/>
  <c r="AM44" i="26"/>
  <c r="AK44" i="26"/>
  <c r="AJ44" i="26"/>
  <c r="AO43" i="26"/>
  <c r="AQ43" i="26"/>
  <c r="AM43" i="26"/>
  <c r="AK43" i="26"/>
  <c r="AJ43" i="26"/>
  <c r="W43" i="26"/>
  <c r="P43" i="26"/>
  <c r="R43" i="26"/>
  <c r="S43" i="26"/>
  <c r="M43" i="26"/>
  <c r="AQ42" i="26"/>
  <c r="AM42" i="26"/>
  <c r="AJ42" i="26"/>
  <c r="P42" i="26"/>
  <c r="R42" i="26"/>
  <c r="S42" i="26"/>
  <c r="M42" i="26"/>
  <c r="AO41" i="26"/>
  <c r="AQ41" i="26"/>
  <c r="AM41" i="26"/>
  <c r="AK41" i="26"/>
  <c r="AJ41" i="26"/>
  <c r="V41" i="26"/>
  <c r="P41" i="26"/>
  <c r="R41" i="26"/>
  <c r="S41" i="26"/>
  <c r="M41" i="26"/>
  <c r="AO40" i="26"/>
  <c r="AQ40" i="26"/>
  <c r="AM40" i="26"/>
  <c r="AJ40" i="26"/>
  <c r="Z40" i="26"/>
  <c r="W40" i="26"/>
  <c r="R40" i="26"/>
  <c r="S40" i="26"/>
  <c r="P40" i="26"/>
  <c r="M40" i="26"/>
  <c r="AO39" i="26"/>
  <c r="AQ39" i="26"/>
  <c r="AM39" i="26"/>
  <c r="AJ39" i="26"/>
  <c r="W39" i="26"/>
  <c r="P39" i="26"/>
  <c r="R39" i="26"/>
  <c r="S39" i="26"/>
  <c r="M39" i="26"/>
  <c r="AO38" i="26"/>
  <c r="AQ38" i="26"/>
  <c r="AM38" i="26"/>
  <c r="AK38" i="26"/>
  <c r="AO37" i="26"/>
  <c r="AQ37" i="26"/>
  <c r="AM37" i="26"/>
  <c r="AJ37" i="26"/>
  <c r="W37" i="26"/>
  <c r="P37" i="26"/>
  <c r="N37" i="26"/>
  <c r="M37" i="26"/>
  <c r="AO36" i="26"/>
  <c r="AQ36" i="26"/>
  <c r="AM36" i="26"/>
  <c r="AJ36" i="26"/>
  <c r="W36" i="26"/>
  <c r="P36" i="26"/>
  <c r="R36" i="26"/>
  <c r="S36" i="26"/>
  <c r="M36" i="26"/>
  <c r="AO35" i="26"/>
  <c r="AQ35" i="26"/>
  <c r="AM35" i="26"/>
  <c r="AO34" i="26"/>
  <c r="AQ34" i="26"/>
  <c r="AM34" i="26"/>
  <c r="AK34" i="26"/>
  <c r="AK35" i="26"/>
  <c r="AJ34" i="26"/>
  <c r="W34" i="26"/>
  <c r="P34" i="26"/>
  <c r="N34" i="26"/>
  <c r="M34" i="26"/>
  <c r="AQ33" i="26"/>
  <c r="AO33" i="26"/>
  <c r="AM33" i="26"/>
  <c r="AJ33" i="26"/>
  <c r="P33" i="26"/>
  <c r="R33" i="26"/>
  <c r="S33" i="26"/>
  <c r="M33" i="26"/>
  <c r="AO32" i="26"/>
  <c r="AQ32" i="26"/>
  <c r="AM32" i="26"/>
  <c r="AK32" i="26"/>
  <c r="AJ32" i="26"/>
  <c r="Z32" i="26"/>
  <c r="W32" i="26"/>
  <c r="P32" i="26"/>
  <c r="R32" i="26"/>
  <c r="S32" i="26"/>
  <c r="M32" i="26"/>
  <c r="AO31" i="26"/>
  <c r="AQ31" i="26"/>
  <c r="AM31" i="26"/>
  <c r="AJ31" i="26"/>
  <c r="AC31" i="26"/>
  <c r="P31" i="26"/>
  <c r="R31" i="26"/>
  <c r="S31" i="26"/>
  <c r="M31" i="26"/>
  <c r="AO30" i="26"/>
  <c r="AQ30" i="26"/>
  <c r="AM30" i="26"/>
  <c r="AJ30" i="26"/>
  <c r="W30" i="26"/>
  <c r="P30" i="26"/>
  <c r="R30" i="26"/>
  <c r="S30" i="26"/>
  <c r="M30" i="26"/>
  <c r="AO29" i="26"/>
  <c r="AQ29" i="26"/>
  <c r="AM29" i="26"/>
  <c r="AJ29" i="26"/>
  <c r="W29" i="26"/>
  <c r="V29" i="26"/>
  <c r="P29" i="26"/>
  <c r="R29" i="26"/>
  <c r="S29" i="26"/>
  <c r="M29" i="26"/>
  <c r="AO28" i="26"/>
  <c r="AQ28" i="26"/>
  <c r="AM28" i="26"/>
  <c r="AJ28" i="26"/>
  <c r="AO27" i="26"/>
  <c r="AQ27" i="26"/>
  <c r="AM27" i="26"/>
  <c r="AJ27" i="26"/>
  <c r="W27" i="26"/>
  <c r="P27" i="26"/>
  <c r="N27" i="26"/>
  <c r="M27" i="26"/>
  <c r="AQ26" i="26"/>
  <c r="AO26" i="26"/>
  <c r="AM26" i="26"/>
  <c r="AJ26" i="26"/>
  <c r="P26" i="26"/>
  <c r="O26" i="26"/>
  <c r="N26" i="26"/>
  <c r="L26" i="26"/>
  <c r="S26" i="26"/>
  <c r="AO25" i="26"/>
  <c r="AQ25" i="26"/>
  <c r="AM25" i="26"/>
  <c r="AJ25" i="26"/>
  <c r="AC25" i="26"/>
  <c r="Z25" i="26"/>
  <c r="W25" i="26"/>
  <c r="P25" i="26"/>
  <c r="R25" i="26"/>
  <c r="S25" i="26"/>
  <c r="M25" i="26"/>
  <c r="AQ24" i="26"/>
  <c r="AO24" i="26"/>
  <c r="AM24" i="26"/>
  <c r="AJ24" i="26"/>
  <c r="W24" i="26"/>
  <c r="P24" i="26"/>
  <c r="R24" i="26"/>
  <c r="S24" i="26"/>
  <c r="M24" i="26"/>
  <c r="AO23" i="26"/>
  <c r="AQ23" i="26"/>
  <c r="AM23" i="26"/>
  <c r="AJ23" i="26"/>
  <c r="Z23" i="26"/>
  <c r="W23" i="26"/>
  <c r="P23" i="26"/>
  <c r="R23" i="26"/>
  <c r="S23" i="26"/>
  <c r="M23" i="26"/>
  <c r="AQ22" i="26"/>
  <c r="AO22" i="26"/>
  <c r="AM22" i="26"/>
  <c r="AJ22" i="26"/>
  <c r="Z22" i="26"/>
  <c r="W22" i="26"/>
  <c r="P22" i="26"/>
  <c r="R22" i="26"/>
  <c r="S22" i="26"/>
  <c r="M22" i="26"/>
  <c r="AO21" i="26"/>
  <c r="AQ21" i="26"/>
  <c r="AM21" i="26"/>
  <c r="AJ21" i="26"/>
  <c r="AO20" i="26"/>
  <c r="AQ20" i="26"/>
  <c r="AM20" i="26"/>
  <c r="AJ20" i="26"/>
  <c r="W20" i="26"/>
  <c r="S20" i="26"/>
  <c r="R20" i="26"/>
  <c r="P20" i="26"/>
  <c r="M20" i="26"/>
  <c r="AO19" i="26"/>
  <c r="AQ19" i="26"/>
  <c r="AM19" i="26"/>
  <c r="AJ19" i="26"/>
  <c r="Z19" i="26"/>
  <c r="W19" i="26"/>
  <c r="P19" i="26"/>
  <c r="R19" i="26"/>
  <c r="S19" i="26"/>
  <c r="M19" i="26"/>
  <c r="AO18" i="26"/>
  <c r="AQ18" i="26"/>
  <c r="AM18" i="26"/>
  <c r="AJ18" i="26"/>
  <c r="AF18" i="26"/>
  <c r="W18" i="26"/>
  <c r="P18" i="26"/>
  <c r="R18" i="26"/>
  <c r="S18" i="26"/>
  <c r="M18" i="26"/>
  <c r="AO17" i="26"/>
  <c r="AQ17" i="26"/>
  <c r="AM17" i="26"/>
  <c r="AJ17" i="26"/>
  <c r="AF17" i="26"/>
  <c r="AE17" i="26"/>
  <c r="Z17" i="26"/>
  <c r="W17" i="26"/>
  <c r="P17" i="26"/>
  <c r="N17" i="26"/>
  <c r="M17" i="26"/>
  <c r="AQ16" i="26"/>
  <c r="AO16" i="26"/>
  <c r="AM16" i="26"/>
  <c r="AJ16" i="26"/>
  <c r="AO15" i="26"/>
  <c r="AQ15" i="26"/>
  <c r="AM15" i="26"/>
  <c r="AJ15" i="26"/>
  <c r="AF15" i="26"/>
  <c r="R15" i="26"/>
  <c r="S15" i="26"/>
  <c r="P15" i="26"/>
  <c r="M15" i="26"/>
  <c r="AO14" i="26"/>
  <c r="AQ14" i="26"/>
  <c r="AM14" i="26"/>
  <c r="AJ14" i="26"/>
  <c r="AO13" i="26"/>
  <c r="AQ13" i="26"/>
  <c r="AM13" i="26"/>
  <c r="AJ13" i="26"/>
  <c r="W13" i="26"/>
  <c r="P13" i="26"/>
  <c r="R13" i="26"/>
  <c r="S13" i="26"/>
  <c r="M13" i="26"/>
  <c r="AO12" i="26"/>
  <c r="AQ12" i="26"/>
  <c r="AM12" i="26"/>
  <c r="AQ11" i="26"/>
  <c r="AO11" i="26"/>
  <c r="AM11" i="26"/>
  <c r="AK11" i="26"/>
  <c r="AK12" i="26"/>
  <c r="AJ11" i="26"/>
  <c r="W11" i="26"/>
  <c r="P11" i="26"/>
  <c r="R11" i="26"/>
  <c r="S11" i="26"/>
  <c r="M11" i="26"/>
  <c r="AQ10" i="26"/>
  <c r="AO10" i="26"/>
  <c r="AM10" i="26"/>
  <c r="AJ10" i="26"/>
  <c r="AF10" i="26"/>
  <c r="P10" i="26"/>
  <c r="R10" i="26"/>
  <c r="S10" i="26"/>
  <c r="M10" i="26"/>
  <c r="AO9" i="26"/>
  <c r="AQ9" i="26"/>
  <c r="AM9" i="26"/>
  <c r="AJ9" i="26"/>
  <c r="AC9" i="26"/>
  <c r="W9" i="26"/>
  <c r="P9" i="26"/>
  <c r="Q9" i="26"/>
  <c r="M9" i="26"/>
  <c r="AQ8" i="26"/>
  <c r="AO8" i="26"/>
  <c r="AM8" i="26"/>
  <c r="AJ8" i="26"/>
  <c r="W8" i="26"/>
  <c r="P8" i="26"/>
  <c r="R8" i="26"/>
  <c r="S8" i="26"/>
  <c r="M8" i="26"/>
  <c r="AQ7" i="26"/>
  <c r="AO7" i="26"/>
  <c r="AM7" i="26"/>
  <c r="AJ7" i="26"/>
  <c r="AO6" i="26"/>
  <c r="AQ6" i="26"/>
  <c r="AM6" i="26"/>
  <c r="AJ6" i="26"/>
  <c r="AC6" i="26"/>
  <c r="Z6" i="26"/>
  <c r="W6" i="26"/>
  <c r="P6" i="26"/>
  <c r="R6" i="26"/>
  <c r="S6" i="26"/>
  <c r="M6" i="26"/>
  <c r="AO5" i="26"/>
  <c r="AQ5" i="26"/>
  <c r="AM5" i="26"/>
  <c r="AJ5" i="26"/>
  <c r="AQ4" i="26"/>
  <c r="AO4" i="26"/>
  <c r="AM4" i="26"/>
  <c r="AJ4" i="26"/>
  <c r="AC4" i="26"/>
  <c r="Z4" i="26"/>
  <c r="W4" i="26"/>
  <c r="P4" i="26"/>
  <c r="R4" i="26"/>
  <c r="S4" i="26"/>
  <c r="M4" i="26"/>
  <c r="L7" i="2"/>
  <c r="AO6" i="2"/>
  <c r="AQ6" i="2" s="1"/>
  <c r="AM6" i="2"/>
  <c r="M6" i="2"/>
  <c r="O6" i="2"/>
  <c r="N97" i="2"/>
  <c r="O97" i="2" s="1"/>
  <c r="N98" i="2"/>
  <c r="O98" i="2"/>
  <c r="N99" i="2"/>
  <c r="O99" i="2"/>
  <c r="N70" i="2"/>
  <c r="O70" i="2" s="1"/>
  <c r="N75" i="2"/>
  <c r="O75" i="2"/>
  <c r="W110" i="2"/>
  <c r="N76" i="2"/>
  <c r="O76" i="2" s="1"/>
  <c r="N74" i="2"/>
  <c r="O74" i="2" s="1"/>
  <c r="N73" i="2"/>
  <c r="O73" i="2" s="1"/>
  <c r="N78" i="2"/>
  <c r="O78" i="2"/>
  <c r="N77" i="2"/>
  <c r="O77" i="2" s="1"/>
  <c r="N65" i="2"/>
  <c r="O65" i="2"/>
  <c r="N83" i="2"/>
  <c r="O83" i="2"/>
  <c r="N7" i="2"/>
  <c r="M7" i="2" s="1"/>
  <c r="R17" i="26"/>
  <c r="S17" i="26"/>
  <c r="R27" i="26"/>
  <c r="S27" i="26"/>
  <c r="R34" i="26"/>
  <c r="S34" i="26"/>
  <c r="R37" i="26"/>
  <c r="S37" i="26"/>
  <c r="AH45" i="26"/>
  <c r="AK45" i="26"/>
  <c r="AK46" i="26"/>
  <c r="R47" i="26"/>
  <c r="S47" i="26"/>
  <c r="R51" i="26"/>
  <c r="S51" i="26"/>
  <c r="R53" i="26"/>
  <c r="S53" i="26"/>
  <c r="R54" i="26"/>
  <c r="S54" i="26"/>
  <c r="R56" i="26"/>
  <c r="S56" i="26"/>
  <c r="R57" i="26"/>
  <c r="S57" i="26"/>
  <c r="R61" i="26"/>
  <c r="S61" i="26"/>
  <c r="R63" i="26"/>
  <c r="S63" i="26"/>
  <c r="R49" i="26"/>
  <c r="S49" i="26"/>
  <c r="Q4" i="26"/>
  <c r="W41" i="26"/>
  <c r="R9" i="26"/>
  <c r="S9" i="26"/>
  <c r="Q17" i="26"/>
  <c r="Q19" i="26"/>
  <c r="W61" i="26"/>
  <c r="M26" i="26"/>
  <c r="Q8" i="26"/>
  <c r="W63" i="26"/>
  <c r="Q6" i="26"/>
  <c r="Q18" i="26"/>
  <c r="AM4" i="2"/>
  <c r="AM5" i="2"/>
  <c r="AO4" i="2"/>
  <c r="AQ4" i="2" s="1"/>
  <c r="AO5" i="2"/>
  <c r="AQ5" i="2" s="1"/>
  <c r="I8" i="25"/>
  <c r="H8" i="25"/>
  <c r="I9" i="25"/>
  <c r="H9" i="25"/>
  <c r="N86" i="2"/>
  <c r="O86" i="2" s="1"/>
  <c r="N66" i="2"/>
  <c r="O66" i="2"/>
  <c r="I10" i="25"/>
  <c r="H10" i="25"/>
  <c r="J9" i="25"/>
  <c r="K9" i="25"/>
  <c r="J10" i="25"/>
  <c r="K10" i="25"/>
  <c r="J8" i="25"/>
  <c r="K8" i="25"/>
  <c r="J26" i="21"/>
  <c r="K32" i="21"/>
  <c r="K31" i="21"/>
  <c r="Q18" i="13"/>
  <c r="S18" i="13"/>
  <c r="Q17" i="13"/>
  <c r="S17" i="13"/>
  <c r="S16" i="13"/>
  <c r="S15" i="13"/>
  <c r="Q14" i="13"/>
  <c r="S14" i="13"/>
  <c r="Q13" i="13"/>
  <c r="S13" i="13"/>
  <c r="Q12" i="13"/>
  <c r="S12" i="13"/>
  <c r="Q11" i="13"/>
  <c r="S11" i="13"/>
  <c r="Q10" i="13"/>
  <c r="S10" i="13"/>
  <c r="Q9" i="13"/>
  <c r="S9" i="13"/>
  <c r="Q8" i="13"/>
  <c r="S8" i="13"/>
  <c r="S7" i="13"/>
  <c r="Q6" i="13"/>
  <c r="S6" i="13"/>
  <c r="S5" i="13"/>
  <c r="S4" i="13"/>
  <c r="Q3" i="13"/>
  <c r="S3" i="13"/>
  <c r="Q2" i="13"/>
  <c r="S2" i="13"/>
  <c r="Q20" i="13"/>
  <c r="S20" i="13"/>
  <c r="Q12" i="12"/>
  <c r="Q2" i="12"/>
  <c r="Q11" i="12"/>
  <c r="Q18" i="12"/>
  <c r="Q17" i="12"/>
  <c r="Q9" i="12"/>
  <c r="Q6" i="12"/>
  <c r="Q10" i="12"/>
  <c r="M17" i="12"/>
  <c r="N13" i="12"/>
  <c r="M13" i="12"/>
  <c r="L13" i="12"/>
  <c r="P13" i="12"/>
  <c r="K13" i="12"/>
  <c r="Q13" i="12"/>
  <c r="M10" i="12"/>
  <c r="Q14" i="12"/>
  <c r="J17" i="12"/>
  <c r="J14" i="12"/>
  <c r="J13" i="12"/>
  <c r="J10" i="12"/>
  <c r="J9" i="12"/>
  <c r="J16" i="12"/>
  <c r="S16" i="12"/>
  <c r="J15" i="12"/>
  <c r="J11" i="12"/>
  <c r="S11" i="12"/>
  <c r="Q8" i="12"/>
  <c r="J8" i="12"/>
  <c r="J7" i="12"/>
  <c r="J6" i="12"/>
  <c r="S6" i="12"/>
  <c r="J12" i="12"/>
  <c r="S12" i="12"/>
  <c r="S7" i="12"/>
  <c r="S8" i="12"/>
  <c r="S9" i="12"/>
  <c r="S10" i="12"/>
  <c r="S13" i="12"/>
  <c r="S14" i="12"/>
  <c r="S15" i="12"/>
  <c r="S17" i="12"/>
  <c r="Q3" i="12"/>
  <c r="J4" i="12"/>
  <c r="J5" i="12"/>
  <c r="J3" i="12"/>
  <c r="S3" i="12"/>
  <c r="S4" i="12"/>
  <c r="S5" i="12"/>
  <c r="Q20" i="12"/>
  <c r="J2" i="12"/>
  <c r="S2" i="12"/>
  <c r="F17" i="11"/>
  <c r="F16" i="11"/>
  <c r="F15" i="11"/>
  <c r="F14" i="11"/>
  <c r="F13" i="11"/>
  <c r="F12" i="11"/>
  <c r="F11" i="11"/>
  <c r="F10" i="11"/>
  <c r="F9" i="11"/>
  <c r="F8" i="11"/>
  <c r="F7" i="11"/>
  <c r="F6" i="11"/>
  <c r="F5" i="11"/>
  <c r="F4" i="11"/>
  <c r="F3" i="11"/>
  <c r="F2" i="11"/>
  <c r="E17" i="6"/>
  <c r="D17" i="6"/>
  <c r="D16" i="6"/>
  <c r="D15" i="6"/>
  <c r="D14" i="6"/>
  <c r="D13" i="6"/>
  <c r="D12" i="6"/>
  <c r="D11" i="6"/>
  <c r="D10" i="6"/>
  <c r="D9" i="6"/>
  <c r="D8" i="6"/>
  <c r="D7" i="6"/>
  <c r="D6" i="6"/>
  <c r="D5" i="6"/>
  <c r="E16" i="6"/>
  <c r="E15" i="6"/>
  <c r="E14" i="6"/>
  <c r="E13" i="6"/>
  <c r="E12" i="6"/>
  <c r="E11" i="6"/>
  <c r="E10" i="6"/>
  <c r="E9" i="6"/>
  <c r="E8" i="6"/>
  <c r="E7" i="6"/>
  <c r="E6" i="6"/>
  <c r="E5" i="6"/>
  <c r="J18" i="12"/>
  <c r="S18" i="12"/>
  <c r="S20" i="12"/>
  <c r="M111" i="2"/>
  <c r="O111" i="2"/>
  <c r="O103" i="2"/>
  <c r="O104" i="2"/>
  <c r="O100" i="2"/>
  <c r="O101" i="2"/>
  <c r="O102" i="2"/>
  <c r="N96" i="2"/>
  <c r="O96" i="2" s="1"/>
  <c r="N112" i="2"/>
  <c r="O112" i="2" s="1"/>
  <c r="M31" i="2"/>
  <c r="O31" i="2"/>
  <c r="M30" i="2"/>
  <c r="O30" i="2"/>
  <c r="N106" i="2"/>
  <c r="O106" i="2" s="1"/>
  <c r="N105" i="2"/>
  <c r="O105" i="2" s="1"/>
  <c r="O18" i="2" l="1"/>
  <c r="M29" i="2"/>
  <c r="O7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tc={9AC76884-0F21-47C6-B865-B95000B79DBB}</author>
    <author>tc={7FF7CD15-9283-4251-80E9-E7C104559DA3}</author>
    <author>tc={16404B6F-7588-445C-84F8-8878F5904AD9}</author>
  </authors>
  <commentList>
    <comment ref="N1" authorId="0" shapeId="0" xr:uid="{9AC76884-0F21-47C6-B865-B95000B79DBB}">
      <text>
        <t>[Threaded comment]
Your version of Excel allows you to read this threaded comment; however, any edits to it will get removed if the file is opened in a newer version of Excel. Learn more: https://go.microsoft.com/fwlink/?linkid=870924
Comment:
    Revenue de la cotización:
MK+NRE+Labor</t>
      </text>
    </comment>
    <comment ref="O1" authorId="1" shapeId="0" xr:uid="{7FF7CD15-9283-4251-80E9-E7C104559DA3}">
      <text>
        <t xml:space="preserve">[Threaded comment]
Your version of Excel allows you to read this threaded comment; however, any edits to it will get removed if the file is opened in a newer version of Excel. Learn more: https://go.microsoft.com/fwlink/?linkid=870924
Comment:
    Costo de cotización:
Logísticos
Materiales
Envío
Exportación
</t>
      </text>
    </comment>
    <comment ref="Q1" authorId="2" shapeId="0" xr:uid="{16404B6F-7588-445C-84F8-8878F5904AD9}">
      <text>
        <t>[Threaded comment]
Your version of Excel allows you to read this threaded comment; however, any edits to it will get removed if the file is opened in a newer version of Excel. Learn more: https://go.microsoft.com/fwlink/?linkid=870924
Comment:
    Evaluación Cost vs Gasto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Rodrigo Ruiz</author>
    <author>tc={96D0440D-7355-4F5A-8FD3-CBD1D1370810}</author>
    <author>tc={B1695A00-C317-451C-BE15-44C32132FA6E}</author>
    <author>tc={7CA23A35-A00B-44DD-BC34-D8AD30C78F97}</author>
  </authors>
  <commentList>
    <comment ref="L3" authorId="0" shapeId="0" xr:uid="{871966A5-5A09-4193-8E2E-7DB24BFFD78C}">
      <text>
        <r>
          <rPr>
            <b/>
            <sz val="9"/>
            <color indexed="81"/>
            <rFont val="Tahoma"/>
            <charset val="1"/>
          </rPr>
          <t>Rodrigo Ruiz:</t>
        </r>
        <r>
          <rPr>
            <sz val="9"/>
            <color indexed="81"/>
            <rFont val="Tahoma"/>
            <charset val="1"/>
          </rPr>
          <t xml:space="preserve">
Poner en todas las filas, la totalidad del proyecto</t>
        </r>
      </text>
    </comment>
    <comment ref="N3" authorId="1" shapeId="0" xr:uid="{96D0440D-7355-4F5A-8FD3-CBD1D1370810}">
      <text>
        <t>[Threaded comment]
Your version of Excel allows you to read this threaded comment; however, any edits to it will get removed if the file is opened in a newer version of Excel. Learn more: https://go.microsoft.com/fwlink/?linkid=870924
Comment:
    Revenue de la cotización:
MK+NRE+Labor</t>
      </text>
    </comment>
    <comment ref="O3" authorId="2" shapeId="0" xr:uid="{B1695A00-C317-451C-BE15-44C32132FA6E}">
      <text>
        <t xml:space="preserve">[Threaded comment]
Your version of Excel allows you to read this threaded comment; however, any edits to it will get removed if the file is opened in a newer version of Excel. Learn more: https://go.microsoft.com/fwlink/?linkid=870924
Comment:
    Costo de cotización:
Logísticos
Materiales
Envío
Exportación
</t>
      </text>
    </comment>
    <comment ref="Q3" authorId="3" shapeId="0" xr:uid="{7CA23A35-A00B-44DD-BC34-D8AD30C78F97}">
      <text>
        <t>[Threaded comment]
Your version of Excel allows you to read this threaded comment; however, any edits to it will get removed if the file is opened in a newer version of Excel. Learn more: https://go.microsoft.com/fwlink/?linkid=870924
Comment:
    Evaluación Cost vs Gasto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tc={0D3935C9-48AD-43F6-A053-D6C93F72D968}</author>
    <author>tc={F7770CD4-E805-4DB9-AC7E-15762CD6FB6F}</author>
    <author>tc={15F999DF-9E03-435C-A2F7-501979964396}</author>
    <author>tc={FBBD0086-CD2D-493F-A37C-BEE41C33EEAC}</author>
  </authors>
  <commentList>
    <comment ref="N3" authorId="0" shapeId="0" xr:uid="{0D3935C9-48AD-43F6-A053-D6C93F72D968}">
      <text>
        <t>[Threaded comment]
Your version of Excel allows you to read this threaded comment; however, any edits to it will get removed if the file is opened in a newer version of Excel. Learn more: https://go.microsoft.com/fwlink/?linkid=870924
Comment:
    Revenue de la cotización:
MK+NRE+Labor</t>
      </text>
    </comment>
    <comment ref="O3" authorId="1" shapeId="0" xr:uid="{F7770CD4-E805-4DB9-AC7E-15762CD6FB6F}">
      <text>
        <t xml:space="preserve">[Threaded comment]
Your version of Excel allows you to read this threaded comment; however, any edits to it will get removed if the file is opened in a newer version of Excel. Learn more: https://go.microsoft.com/fwlink/?linkid=870924
Comment:
    Costo de cotización:
Logísticos
Materiales
Envío
Exportación
</t>
      </text>
    </comment>
    <comment ref="Q3" authorId="2" shapeId="0" xr:uid="{15F999DF-9E03-435C-A2F7-501979964396}">
      <text>
        <t>[Threaded comment]
Your version of Excel allows you to read this threaded comment; however, any edits to it will get removed if the file is opened in a newer version of Excel. Learn more: https://go.microsoft.com/fwlink/?linkid=870924
Comment:
    Evaluación Cost vs Gasto</t>
      </text>
    </comment>
    <comment ref="AE17" authorId="3" shapeId="0" xr:uid="{FBBD0086-CD2D-493F-A37C-BEE41C33EEAC}">
      <text>
        <t>[Threaded comment]
Your version of Excel allows you to read this threaded comment; however, any edits to it will get removed if the file is opened in a newer version of Excel. Learn more: https://go.microsoft.com/fwlink/?linkid=870924
Comment:
    6 4eyes Alejandro Silva
Sin datos de diseño Omar Soto</t>
      </text>
    </comment>
  </commentList>
</comments>
</file>

<file path=xl/sharedStrings.xml><?xml version="1.0" encoding="utf-8"?>
<sst xmlns="http://schemas.openxmlformats.org/spreadsheetml/2006/main" count="3606" uniqueCount="619">
  <si>
    <t>Month</t>
  </si>
  <si>
    <t>Main BU</t>
  </si>
  <si>
    <t>PO</t>
  </si>
  <si>
    <t>SAPI</t>
  </si>
  <si>
    <t>PO a SAPI</t>
  </si>
  <si>
    <t>INVOICE
SAPI</t>
  </si>
  <si>
    <t>Project</t>
  </si>
  <si>
    <t>Customer</t>
  </si>
  <si>
    <t>Location</t>
  </si>
  <si>
    <t>Sales Team</t>
  </si>
  <si>
    <t>PM</t>
  </si>
  <si>
    <t>PO Amount</t>
  </si>
  <si>
    <t>Theorical Margen</t>
  </si>
  <si>
    <t>Quoted Rev</t>
  </si>
  <si>
    <t>Quoted Cost</t>
  </si>
  <si>
    <t>Total
Expense</t>
  </si>
  <si>
    <t>Overall</t>
  </si>
  <si>
    <t>PROFIT</t>
  </si>
  <si>
    <t>Margen Real</t>
  </si>
  <si>
    <t>Status</t>
  </si>
  <si>
    <t>Quoted Materials</t>
  </si>
  <si>
    <t>Expensed Materials</t>
  </si>
  <si>
    <t>% Materials</t>
  </si>
  <si>
    <t>Quoted
Logistic</t>
  </si>
  <si>
    <t>Expensed Logistic</t>
  </si>
  <si>
    <t>%Logs</t>
  </si>
  <si>
    <t>Quoted Travel</t>
  </si>
  <si>
    <t>Expensed Travel</t>
  </si>
  <si>
    <t>% Travel</t>
  </si>
  <si>
    <t>Labor Quoted</t>
  </si>
  <si>
    <t>Expense Quoted</t>
  </si>
  <si>
    <t>% Labor</t>
  </si>
  <si>
    <t>Payment</t>
  </si>
  <si>
    <t>Percentage</t>
  </si>
  <si>
    <t>Invoice</t>
  </si>
  <si>
    <t>Status f/Invoice</t>
  </si>
  <si>
    <t>Invoice Amount</t>
  </si>
  <si>
    <t>Invoice Date</t>
  </si>
  <si>
    <t>Execution Time (Weeks)</t>
  </si>
  <si>
    <t>Payment Terms</t>
  </si>
  <si>
    <t>Payment Date</t>
  </si>
  <si>
    <t>Payment Status</t>
  </si>
  <si>
    <t>Status for payment</t>
  </si>
  <si>
    <t>Estimated Invoice Date</t>
  </si>
  <si>
    <t>FIX</t>
  </si>
  <si>
    <t>PO 4506993401</t>
  </si>
  <si>
    <t>Universal Metering Transponder for GE I-210 Meter Y72424-PTP</t>
  </si>
  <si>
    <t>Aclara</t>
  </si>
  <si>
    <t>Missouri MO</t>
  </si>
  <si>
    <t>LLC</t>
  </si>
  <si>
    <t>Lorel G.</t>
  </si>
  <si>
    <t>OK</t>
  </si>
  <si>
    <t>Delivery</t>
  </si>
  <si>
    <t>Pending</t>
  </si>
  <si>
    <t>PO 4506992287</t>
  </si>
  <si>
    <t>Athena Previsioning Fixture</t>
  </si>
  <si>
    <t>New Hampshire</t>
  </si>
  <si>
    <t>FCT</t>
  </si>
  <si>
    <t>PO 457315</t>
  </si>
  <si>
    <t>MKS Fixtures</t>
  </si>
  <si>
    <t>MKS</t>
  </si>
  <si>
    <t>Nogales MX</t>
  </si>
  <si>
    <t>FAT</t>
  </si>
  <si>
    <t>ICT</t>
  </si>
  <si>
    <t>PO 7700355926</t>
  </si>
  <si>
    <t>MAC1-5137435-00</t>
  </si>
  <si>
    <t>Harman TIJ</t>
  </si>
  <si>
    <t>Tijuana MX</t>
  </si>
  <si>
    <t>Johanna V.</t>
  </si>
  <si>
    <t>PO 7700355927</t>
  </si>
  <si>
    <t>SMAC-5138741-00</t>
  </si>
  <si>
    <t>MAC1-5137310-00</t>
  </si>
  <si>
    <t>SMAC-5138736-00</t>
  </si>
  <si>
    <t>PO 457076400</t>
  </si>
  <si>
    <t>Spare Cabezal Spare parts + Labor</t>
  </si>
  <si>
    <t>Vitesco</t>
  </si>
  <si>
    <t>Seguin TX</t>
  </si>
  <si>
    <t xml:space="preserve">ALBERTO </t>
  </si>
  <si>
    <t>Materials</t>
  </si>
  <si>
    <t>Logistics</t>
  </si>
  <si>
    <t>Travel Expenses</t>
  </si>
  <si>
    <t>Labor</t>
  </si>
  <si>
    <t>PO 24411329</t>
  </si>
  <si>
    <t>Eclipse Initial Station # 3</t>
  </si>
  <si>
    <t>Det-Tronics</t>
  </si>
  <si>
    <t>Minneapolis MN</t>
  </si>
  <si>
    <t>SAT</t>
  </si>
  <si>
    <t>PO 4506728719</t>
  </si>
  <si>
    <t>n/a</t>
  </si>
  <si>
    <t>N/A</t>
  </si>
  <si>
    <t>Gateway 104X3468G406</t>
  </si>
  <si>
    <t>St Louis MO</t>
  </si>
  <si>
    <t>German L.</t>
  </si>
  <si>
    <t>Invoiced</t>
  </si>
  <si>
    <t>Paid</t>
  </si>
  <si>
    <t>IAT</t>
  </si>
  <si>
    <t>Hot Test Handling</t>
  </si>
  <si>
    <t>Analys B.</t>
  </si>
  <si>
    <t>DP</t>
  </si>
  <si>
    <t>PO 4506781657</t>
  </si>
  <si>
    <t>1210C Previsioning Fixture</t>
  </si>
  <si>
    <t>Yahemi A.</t>
  </si>
  <si>
    <t>PO 4506828421</t>
  </si>
  <si>
    <t>104X4816G010 _104X4816G002</t>
  </si>
  <si>
    <t>PO 4506828420</t>
  </si>
  <si>
    <t>104X4813G012</t>
  </si>
  <si>
    <t>PO 2405018B</t>
  </si>
  <si>
    <t>ECO PA07744 ISP Jabil GDL</t>
  </si>
  <si>
    <t>Creston</t>
  </si>
  <si>
    <t>New York NY</t>
  </si>
  <si>
    <t>PO 4500046713</t>
  </si>
  <si>
    <t>Rear_Relay_18003451-01</t>
  </si>
  <si>
    <t>BCS AIS Querétaro</t>
  </si>
  <si>
    <t>Queretaro MX</t>
  </si>
  <si>
    <t>PO 4500046715</t>
  </si>
  <si>
    <t>Co-Driver_18003449-01</t>
  </si>
  <si>
    <t>PO 4500046716</t>
  </si>
  <si>
    <t>Driver_18003448-01</t>
  </si>
  <si>
    <t>PO 516701</t>
  </si>
  <si>
    <t>DMPSX-4200 Duplicate</t>
  </si>
  <si>
    <t>PO152954473</t>
  </si>
  <si>
    <t>Gen3 DVT MainsMID</t>
  </si>
  <si>
    <t>SPAN.io</t>
  </si>
  <si>
    <t>CA</t>
  </si>
  <si>
    <t>104X4816G010_and_104X4816G002 &amp; 104X4813G012 On-site installation</t>
  </si>
  <si>
    <t>Gateway 104X3468G406 On-site installation</t>
  </si>
  <si>
    <t>Scanners 104X4816G010_104X4816G002 &amp; 104X4813G012</t>
  </si>
  <si>
    <t>PO 152954541</t>
  </si>
  <si>
    <t>02412 Branch</t>
  </si>
  <si>
    <t>PO152954542</t>
  </si>
  <si>
    <t>02255 PVT Gateway</t>
  </si>
  <si>
    <t>PO 152954540</t>
  </si>
  <si>
    <t>02180 PCM</t>
  </si>
  <si>
    <t>PO 518985</t>
  </si>
  <si>
    <t>Duplicate 4535184 PA08056-1</t>
  </si>
  <si>
    <t>PO C-10002975490</t>
  </si>
  <si>
    <t>i3070 ICT Fixture &amp; Development for Whirlpool Ibiza</t>
  </si>
  <si>
    <t>Jabil</t>
  </si>
  <si>
    <t>Guadalajara MX</t>
  </si>
  <si>
    <t>PO ACC0005</t>
  </si>
  <si>
    <t>13394-001C</t>
  </si>
  <si>
    <t>Neptune</t>
  </si>
  <si>
    <t xml:space="preserve">Tallassee AL </t>
  </si>
  <si>
    <t>PO 6385</t>
  </si>
  <si>
    <t>Engineering Services</t>
  </si>
  <si>
    <t>iBtest SAPI</t>
  </si>
  <si>
    <t>PO ACC0008</t>
  </si>
  <si>
    <t>13394-001 Fixture</t>
  </si>
  <si>
    <t>PO ACC0021</t>
  </si>
  <si>
    <t>SGA 13394-001D FIXTURES</t>
  </si>
  <si>
    <t>invoiced</t>
  </si>
  <si>
    <t>Programming MT_FUJI CPU 73-21400</t>
  </si>
  <si>
    <t>Cisco</t>
  </si>
  <si>
    <t>PO ACC0016</t>
  </si>
  <si>
    <t>UPGRADE 9UP TO 15</t>
  </si>
  <si>
    <t>PO 4501655861</t>
  </si>
  <si>
    <t>Power Board PIM (2459)</t>
  </si>
  <si>
    <t>BorgWarner</t>
  </si>
  <si>
    <t xml:space="preserve">Reynosa </t>
  </si>
  <si>
    <t>4510697768-3</t>
  </si>
  <si>
    <t>Hot Test Handling ECO</t>
  </si>
  <si>
    <t>Alberto</t>
  </si>
  <si>
    <t>SGA for Hot Test Handler</t>
  </si>
  <si>
    <t>PO 4506968645</t>
  </si>
  <si>
    <t>Rework 1210C Previsioning Fixture</t>
  </si>
  <si>
    <t>PO 4506967555</t>
  </si>
  <si>
    <t>Duplicate Olympus fixtures</t>
  </si>
  <si>
    <t>PO 522827</t>
  </si>
  <si>
    <t>Duplicate Fixture for Radiance System</t>
  </si>
  <si>
    <t>PO 523877</t>
  </si>
  <si>
    <t>DM-NVX-371- CARD</t>
  </si>
  <si>
    <t>PO 523876</t>
  </si>
  <si>
    <t>DM-NVX-371- BOX</t>
  </si>
  <si>
    <t>PO 523894</t>
  </si>
  <si>
    <t>Radiance Customs Cost</t>
  </si>
  <si>
    <t>PO 6776</t>
  </si>
  <si>
    <t>ICT 83001 4L-LCD BOARD</t>
  </si>
  <si>
    <t>PO 4501688881</t>
  </si>
  <si>
    <t>Re-work ICT fixture-SEPIC 400V</t>
  </si>
  <si>
    <t>Reynosa MX</t>
  </si>
  <si>
    <t>2nd Re-work ICT fixture-SEPIC 400V</t>
  </si>
  <si>
    <t>PO 4500053312</t>
  </si>
  <si>
    <t>Volume Knob 18005754-01</t>
  </si>
  <si>
    <t>PO 200006895</t>
  </si>
  <si>
    <t>FF1 IQC Tester</t>
  </si>
  <si>
    <t>Form Energy</t>
  </si>
  <si>
    <t>Pensilvania PA</t>
  </si>
  <si>
    <t>DR</t>
  </si>
  <si>
    <t>PO4507003830</t>
  </si>
  <si>
    <t>Next Gen Power Board</t>
  </si>
  <si>
    <t>PO 4506993116</t>
  </si>
  <si>
    <t>REPS</t>
  </si>
  <si>
    <t>PO 8264</t>
  </si>
  <si>
    <t>GW | SILBIT | Cesar Mardueña | MFG + GDS | 11K</t>
  </si>
  <si>
    <t>Silbit</t>
  </si>
  <si>
    <t>JONATHAN</t>
  </si>
  <si>
    <t>1165, 1166</t>
  </si>
  <si>
    <t>PO 16431</t>
  </si>
  <si>
    <t>Test Rack (TS-29-0029)</t>
  </si>
  <si>
    <t>Arcadia</t>
  </si>
  <si>
    <t>California CA</t>
  </si>
  <si>
    <t>PO 16432</t>
  </si>
  <si>
    <t>Test Rack (TS-21-0030)</t>
  </si>
  <si>
    <t>PO 525614</t>
  </si>
  <si>
    <t>Relay Boards (IBTEST001B)</t>
  </si>
  <si>
    <t>Rodrigo R.</t>
  </si>
  <si>
    <t>Engineering Support in MX</t>
  </si>
  <si>
    <t>PO 525679</t>
  </si>
  <si>
    <t>UC-NAX-PH-POE</t>
  </si>
  <si>
    <t>PO 7700348196</t>
  </si>
  <si>
    <t>5132543-00_MAIN_BOARD</t>
  </si>
  <si>
    <t>5120550-00_SRX900 DIS INPUT</t>
  </si>
  <si>
    <t>PO 4510704277</t>
  </si>
  <si>
    <t>Panel Ambient Handler E94 Line 1</t>
  </si>
  <si>
    <t>PO ACC0050</t>
  </si>
  <si>
    <t>1up Functional Test fixture 13892</t>
  </si>
  <si>
    <t>PO 4507014149</t>
  </si>
  <si>
    <t>Calibration fixture enclosure for Athena provisioning final product</t>
  </si>
  <si>
    <t>PO 4500200601</t>
  </si>
  <si>
    <t>PO 2504071</t>
  </si>
  <si>
    <t>Molding machine (Pedal Toyota)</t>
  </si>
  <si>
    <t>CTS</t>
  </si>
  <si>
    <t>Matamoros MX</t>
  </si>
  <si>
    <t>PO 4500200904</t>
  </si>
  <si>
    <t>Automatic connector loading and housing (Toyota 706)</t>
  </si>
  <si>
    <t>Automatic connector loading and housing (Toyata 706)</t>
  </si>
  <si>
    <t>A001994954</t>
  </si>
  <si>
    <t>GW DAQ 9600</t>
  </si>
  <si>
    <t>Honeywell</t>
  </si>
  <si>
    <t>Juarez MX</t>
  </si>
  <si>
    <t>PO A002057293</t>
  </si>
  <si>
    <t>GW DAQ 907</t>
  </si>
  <si>
    <t>Diana</t>
  </si>
  <si>
    <t>PO US187883</t>
  </si>
  <si>
    <t>UIIB Programming &amp; Testing</t>
  </si>
  <si>
    <t>Asteelflash</t>
  </si>
  <si>
    <t>PO 16476</t>
  </si>
  <si>
    <t>Test rack</t>
  </si>
  <si>
    <t>PO 5716</t>
  </si>
  <si>
    <t>Shipping and Importation</t>
  </si>
  <si>
    <t>Whoop</t>
  </si>
  <si>
    <t xml:space="preserve">Boston </t>
  </si>
  <si>
    <t>PO C-10003136299</t>
  </si>
  <si>
    <t>Lab View Trainings</t>
  </si>
  <si>
    <t>PO 7108</t>
  </si>
  <si>
    <t>Magna Mirrors Test Station</t>
  </si>
  <si>
    <t>PO 4301391432</t>
  </si>
  <si>
    <t>GW Instruments</t>
  </si>
  <si>
    <t>Resideo</t>
  </si>
  <si>
    <t>El Paso</t>
  </si>
  <si>
    <t>PO 4510700353</t>
  </si>
  <si>
    <t>Spare Parts CM3550</t>
  </si>
  <si>
    <t>PO152955137</t>
  </si>
  <si>
    <t>Module Calibration Rack</t>
  </si>
  <si>
    <t>MAC1-5136986-00</t>
  </si>
  <si>
    <t>PO 4510705476</t>
  </si>
  <si>
    <t>Support Vitesco Seguin</t>
  </si>
  <si>
    <t>PO 152955245</t>
  </si>
  <si>
    <t>Upgrade of 02180 PCM</t>
  </si>
  <si>
    <t>PO152955172</t>
  </si>
  <si>
    <t>Engineering Services/Support for Test Equipment Transfer</t>
  </si>
  <si>
    <t>PO 152955252</t>
  </si>
  <si>
    <t>Engineering Services/Support for Test Equipment Transfer 2nd Stage</t>
  </si>
  <si>
    <t>PO 152955251</t>
  </si>
  <si>
    <t>Engineering Services/Support for Test Equipment Transfer 3rd Stage</t>
  </si>
  <si>
    <t>US192309</t>
  </si>
  <si>
    <t>Extra access for fixture</t>
  </si>
  <si>
    <t>Asteelflash (CA)</t>
  </si>
  <si>
    <t>PO C-10003225829</t>
  </si>
  <si>
    <t>GS520 ICT LIGNITE Fixture</t>
  </si>
  <si>
    <t>Jabil CUU</t>
  </si>
  <si>
    <t>Chihuahua MX</t>
  </si>
  <si>
    <t xml:space="preserve">German L </t>
  </si>
  <si>
    <t>PO 4510705062</t>
  </si>
  <si>
    <t>E94 PA Accelerated Hardware Plates</t>
  </si>
  <si>
    <t>PO C-10003268369</t>
  </si>
  <si>
    <t xml:space="preserve"> Developing Test Programs Using TestStand</t>
  </si>
  <si>
    <t>DMPSX-4200 Third Duplicate</t>
  </si>
  <si>
    <t xml:space="preserve">New York </t>
  </si>
  <si>
    <t>Shipping Fees</t>
  </si>
  <si>
    <t>Spare Cabezal - Vitesco TX</t>
  </si>
  <si>
    <t>HVAC MY27 Vknob</t>
  </si>
  <si>
    <t>MX Bajío and Center</t>
  </si>
  <si>
    <t>18004191 HVAC_LE</t>
  </si>
  <si>
    <t>18004192 HVAC</t>
  </si>
  <si>
    <t>German</t>
  </si>
  <si>
    <t>P15833</t>
  </si>
  <si>
    <t>Arcadia Maintainence Kits and Springs</t>
  </si>
  <si>
    <t>iRhythm Technologies, Inc. (CA)</t>
  </si>
  <si>
    <t>PA93, PA94, PA95 ICT FIXTURE</t>
  </si>
  <si>
    <t>Crestron</t>
  </si>
  <si>
    <t>Machining Athena Calibration Enclosure</t>
  </si>
  <si>
    <t>Hubbell</t>
  </si>
  <si>
    <t>NH</t>
  </si>
  <si>
    <t>Overall Results</t>
  </si>
  <si>
    <t>Sum of Invoice Amount</t>
  </si>
  <si>
    <t>Grand Total</t>
  </si>
  <si>
    <t>2023</t>
  </si>
  <si>
    <t>Jan</t>
  </si>
  <si>
    <t>IBTI-22051001-Shasta Patch DMB0001P</t>
  </si>
  <si>
    <t>Mar</t>
  </si>
  <si>
    <t>IBTF-23054001 FCT Maverick &amp; Puffin</t>
  </si>
  <si>
    <t>IBTFIX-23053001 Nvidia NX Programming Fixture</t>
  </si>
  <si>
    <t>IBTI-23021001 Enginering Hours Crestron 494969</t>
  </si>
  <si>
    <t>May</t>
  </si>
  <si>
    <t>IBTFIX-23059001 ASM-0051 Cap Board 24 UUT</t>
  </si>
  <si>
    <t>IBTI-23021000 4534705 - PA08016-1</t>
  </si>
  <si>
    <t>Jun</t>
  </si>
  <si>
    <t>IBTI-23021002 PA07891-14532008 Apply SOW to ISP</t>
  </si>
  <si>
    <t>IBTI-23055001 Eaton 70C2470G01 Project- QxQ</t>
  </si>
  <si>
    <t>Jul</t>
  </si>
  <si>
    <t>IBTI-23021003 4534171 PA07984-1</t>
  </si>
  <si>
    <t>Aug</t>
  </si>
  <si>
    <t>IBTI-23021006 Engineering Hours Creston</t>
  </si>
  <si>
    <t>IBTI-23050001 SCCM Project- QxQ</t>
  </si>
  <si>
    <t>Sep</t>
  </si>
  <si>
    <t>1.-Licencias SMH-Borgwarner REX_PO 45013958809</t>
  </si>
  <si>
    <t>IBTI-23021004 PA07989-1 RevC &amp; PA07986-1 RevB</t>
  </si>
  <si>
    <t>IBTI-23032001 Control P_383</t>
  </si>
  <si>
    <t>IBTI-23055002 ConMet Pascal Project</t>
  </si>
  <si>
    <t>IBTI-23061001 Discovery ECO for PCA-0408-10</t>
  </si>
  <si>
    <t>IBTI-23029001 Neptune 13392 Data</t>
  </si>
  <si>
    <t>Oct</t>
  </si>
  <si>
    <t>IBTI-23021005 PA07906A - PA06897C MOD Rework</t>
  </si>
  <si>
    <t>IBTI-23021007 4534512-PA08002-1</t>
  </si>
  <si>
    <t>Nov</t>
  </si>
  <si>
    <t>2.-Licencias SMH-Borgwarner REX_PO 4501435032</t>
  </si>
  <si>
    <t>3.-INGUN Probes Atom Power PO100243</t>
  </si>
  <si>
    <t>Dec</t>
  </si>
  <si>
    <t>Empujando para cerrar semana 51</t>
  </si>
  <si>
    <t>IBSW-23064001 Traceability Integration</t>
  </si>
  <si>
    <t>2024</t>
  </si>
  <si>
    <t>Depende Cliente</t>
  </si>
  <si>
    <t>En tiempo</t>
  </si>
  <si>
    <t>IBTI-23021008 4534704 PA08018-1 PCB REV B</t>
  </si>
  <si>
    <t>CANCELADO</t>
  </si>
  <si>
    <t>IBTI-23050002 SWS-LH Project &amp; SWS-RH Project</t>
  </si>
  <si>
    <t>IBTI-23055003 Development Whirlpool Q+ HMI A26</t>
  </si>
  <si>
    <t>Vistesco</t>
  </si>
  <si>
    <t>IBTFIX-23065001 EMS27xx28xx HC Load Box Project</t>
  </si>
  <si>
    <t>NET 60</t>
  </si>
  <si>
    <t>Feb</t>
  </si>
  <si>
    <t>Aptiv</t>
  </si>
  <si>
    <t>Sin Muestras</t>
  </si>
  <si>
    <t>IBTI-23065001 MPAD Project</t>
  </si>
  <si>
    <t>Mayo 2024</t>
  </si>
  <si>
    <t>IBFIX-23021002 for Radiance-Aux Fixture</t>
  </si>
  <si>
    <t>IBTI-23021009 4535095 - PA08040-1</t>
  </si>
  <si>
    <t>IBFIX-23021003 for Radiance System Final Fixture</t>
  </si>
  <si>
    <t>IBFIX-23021001 for HR320 Pre-test Fixture</t>
  </si>
  <si>
    <t>Fixture Whirpool</t>
  </si>
  <si>
    <t>Joule</t>
  </si>
  <si>
    <t>Recolección Whirpool</t>
  </si>
  <si>
    <t>OD</t>
  </si>
  <si>
    <t>Material APTIV I525</t>
  </si>
  <si>
    <t>QA</t>
  </si>
  <si>
    <t>Fixture APTIV</t>
  </si>
  <si>
    <t>JT</t>
  </si>
  <si>
    <t>Recolección APTIV</t>
  </si>
  <si>
    <t>Envio material APTIV</t>
  </si>
  <si>
    <t>FedEx</t>
  </si>
  <si>
    <t>Galgas APTIV</t>
  </si>
  <si>
    <t>MADSER</t>
  </si>
  <si>
    <t>Envio fix APTIV</t>
  </si>
  <si>
    <t>Fixture PA08018-1 Creston</t>
  </si>
  <si>
    <t>QXQ</t>
  </si>
  <si>
    <t>Programador PA08018-1 Creston</t>
  </si>
  <si>
    <t>Mouser</t>
  </si>
  <si>
    <t>Recolección PA08018-1 Creston</t>
  </si>
  <si>
    <t>Fixture 8040 Creston</t>
  </si>
  <si>
    <t>Programador PA 8040 Creston</t>
  </si>
  <si>
    <t>Recolección PA 8040 Creston</t>
  </si>
  <si>
    <t>Cajas de Vitesco</t>
  </si>
  <si>
    <t>CHTool</t>
  </si>
  <si>
    <t>Material Macpanel Vitesco</t>
  </si>
  <si>
    <t>Macpanel</t>
  </si>
  <si>
    <t>Material ITAS Vitesco</t>
  </si>
  <si>
    <t>PO ammount</t>
  </si>
  <si>
    <t>PO2301005</t>
  </si>
  <si>
    <t>PO2301033</t>
  </si>
  <si>
    <t xml:space="preserve">PO2301036-1 </t>
  </si>
  <si>
    <t>Borgwarner Rex</t>
  </si>
  <si>
    <t>PO2301038</t>
  </si>
  <si>
    <t>PO2301043</t>
  </si>
  <si>
    <t>PO2301049</t>
  </si>
  <si>
    <t>PO2301051</t>
  </si>
  <si>
    <t>Q</t>
  </si>
  <si>
    <t>Quota 100%</t>
  </si>
  <si>
    <t>Quota 200%</t>
  </si>
  <si>
    <t>Q1</t>
  </si>
  <si>
    <t>Q2</t>
  </si>
  <si>
    <t>Apr</t>
  </si>
  <si>
    <t>Q3</t>
  </si>
  <si>
    <t>Q4</t>
  </si>
  <si>
    <t>Total</t>
  </si>
  <si>
    <t>Proyecto</t>
  </si>
  <si>
    <t>Cliente</t>
  </si>
  <si>
    <t>Notas</t>
  </si>
  <si>
    <t>IBTI-2221010 4533397 - PA07930-1</t>
  </si>
  <si>
    <t>PO 485848</t>
  </si>
  <si>
    <t>Facturada por Germán/Saul</t>
  </si>
  <si>
    <t>IBTI-2221011 4533246 - PA07931-1</t>
  </si>
  <si>
    <t>PO 485839</t>
  </si>
  <si>
    <t>IBTI-2221012 4533500 - PA07932-1</t>
  </si>
  <si>
    <t>PO 485776</t>
  </si>
  <si>
    <t>IBTI-2221013 4534077 - PA07933-1</t>
  </si>
  <si>
    <t>PO 485775</t>
  </si>
  <si>
    <t>IBTI-2221014 4535135 - PA08058-1</t>
  </si>
  <si>
    <t>PO 489276</t>
  </si>
  <si>
    <t>IBTI-2221015 4535045 - PA08026-1</t>
  </si>
  <si>
    <t>PO 489221</t>
  </si>
  <si>
    <t>IBTI-2221016 Enginering Hours Crestron</t>
  </si>
  <si>
    <t>PO 489715</t>
  </si>
  <si>
    <t>Accesorios para PA07930, PA07932 y PA07933</t>
  </si>
  <si>
    <t>PO 485876</t>
  </si>
  <si>
    <t>iRhythm</t>
  </si>
  <si>
    <t>P10409</t>
  </si>
  <si>
    <t>Facturada por Fernanda</t>
  </si>
  <si>
    <t>P10410</t>
  </si>
  <si>
    <t>PA07938_B Programming</t>
  </si>
  <si>
    <t>Facturada por Germán</t>
  </si>
  <si>
    <t>PA07938_B Programming Shipping</t>
  </si>
  <si>
    <t>4534770-PA08019-1</t>
  </si>
  <si>
    <t xml:space="preserve"> PA07969 - QxQ</t>
  </si>
  <si>
    <t>Customer PO</t>
  </si>
  <si>
    <t>Item</t>
  </si>
  <si>
    <t>Desarrollo de Proyecto (SAPI)</t>
  </si>
  <si>
    <t>Design</t>
  </si>
  <si>
    <t>Debug</t>
  </si>
  <si>
    <t>Materiales</t>
  </si>
  <si>
    <t>MK</t>
  </si>
  <si>
    <t>Instalación</t>
  </si>
  <si>
    <t>Total SAPI</t>
  </si>
  <si>
    <t>Total LLC</t>
  </si>
  <si>
    <t>PO 35748</t>
  </si>
  <si>
    <t>Diseño Jaime Arzaga</t>
  </si>
  <si>
    <t>IBTI-23029001-Neptune 13392 Data</t>
  </si>
  <si>
    <t>PO 494919</t>
  </si>
  <si>
    <t>Diseño Salvador Galván</t>
  </si>
  <si>
    <t>PO 494969</t>
  </si>
  <si>
    <t>Installation</t>
  </si>
  <si>
    <t>Soporte Oliver Hurtado</t>
  </si>
  <si>
    <t>PO 496034</t>
  </si>
  <si>
    <t>PO C10002158192</t>
  </si>
  <si>
    <t>Jabil ESG</t>
  </si>
  <si>
    <t>PO 497180</t>
  </si>
  <si>
    <t>PO 497555</t>
  </si>
  <si>
    <t>Diseño Oliver Hurtado</t>
  </si>
  <si>
    <t>PO C10002256704</t>
  </si>
  <si>
    <t>PO 500087</t>
  </si>
  <si>
    <t>PO 81036328</t>
  </si>
  <si>
    <t>Soporte Alejandro Silva</t>
  </si>
  <si>
    <t>F5 Networks, Inc</t>
  </si>
  <si>
    <t>PO 4500028363</t>
  </si>
  <si>
    <t>PO 4500028265</t>
  </si>
  <si>
    <t>PO 500885</t>
  </si>
  <si>
    <t>PO 81036846</t>
  </si>
  <si>
    <t>Instalación Alex</t>
  </si>
  <si>
    <t>PO 501962</t>
  </si>
  <si>
    <t>PO 4500030193</t>
  </si>
  <si>
    <t>PO 4500031113</t>
  </si>
  <si>
    <t>Labor Javier González</t>
  </si>
  <si>
    <t>Servicios del Oliver en SAPI</t>
  </si>
  <si>
    <t>MK por cuentas Mexicanas</t>
  </si>
  <si>
    <t>Labor Ingeniero SAPI</t>
  </si>
  <si>
    <t>Factura 1880</t>
  </si>
  <si>
    <t>Desarrollo de Proyecto (LLC)</t>
  </si>
  <si>
    <t>Diseño Rodrigo Ruiz</t>
  </si>
  <si>
    <t>Conti Aguas</t>
  </si>
  <si>
    <t xml:space="preserve">Borgwarner </t>
  </si>
  <si>
    <t>Jabil CCU</t>
  </si>
  <si>
    <t>Soporte Neotech</t>
  </si>
  <si>
    <t>Neotech CA</t>
  </si>
  <si>
    <t>Row Labels</t>
  </si>
  <si>
    <t>Sum of PO Amount</t>
  </si>
  <si>
    <t>Theorical</t>
  </si>
  <si>
    <t>Real</t>
  </si>
  <si>
    <t>APTIV</t>
  </si>
  <si>
    <t>2022</t>
  </si>
  <si>
    <t>Column Labels</t>
  </si>
  <si>
    <t>Sum of Quoted Cost</t>
  </si>
  <si>
    <t>Sum of Quoted Rev</t>
  </si>
  <si>
    <t>Quoted Margen</t>
  </si>
  <si>
    <t>Total Expense</t>
  </si>
  <si>
    <t>Real Margen</t>
  </si>
  <si>
    <t>Atom Power</t>
  </si>
  <si>
    <t>(blank)</t>
  </si>
  <si>
    <t>&lt;1/2/2023</t>
  </si>
  <si>
    <t>Flex CA</t>
  </si>
  <si>
    <t>SW</t>
  </si>
  <si>
    <t>Los Angeles CA</t>
  </si>
  <si>
    <t>Closed</t>
  </si>
  <si>
    <t>-</t>
  </si>
  <si>
    <t>Chicago IL</t>
  </si>
  <si>
    <t>No budget</t>
  </si>
  <si>
    <t>Install</t>
  </si>
  <si>
    <t>PO CAP5-21221-1655-SC</t>
  </si>
  <si>
    <t>Boston MA</t>
  </si>
  <si>
    <t>Open</t>
  </si>
  <si>
    <t>No quoted</t>
  </si>
  <si>
    <t>PO #: 310007970</t>
  </si>
  <si>
    <t>PO2301008</t>
  </si>
  <si>
    <t>Ontario CA</t>
  </si>
  <si>
    <t>PO0000351</t>
  </si>
  <si>
    <t>PO2301016</t>
  </si>
  <si>
    <t xml:space="preserve">Huntersville NC </t>
  </si>
  <si>
    <t>Seattle WA</t>
  </si>
  <si>
    <t>PO0000499</t>
  </si>
  <si>
    <t>PO2301020</t>
  </si>
  <si>
    <t>PO 502162</t>
  </si>
  <si>
    <t>PO CAPMG-22044-1640-SC</t>
  </si>
  <si>
    <t>PO2301028</t>
  </si>
  <si>
    <t>PO 502923</t>
  </si>
  <si>
    <t>PO CAP5-22144-1655-SC</t>
  </si>
  <si>
    <t>PO 45013958809</t>
  </si>
  <si>
    <t>Razón Social</t>
  </si>
  <si>
    <t>PO2301034</t>
  </si>
  <si>
    <t>PO 4301338632</t>
  </si>
  <si>
    <t>Ciudad Juarez MX</t>
  </si>
  <si>
    <t xml:space="preserve">PO 503715 </t>
  </si>
  <si>
    <t>PO 4501408571</t>
  </si>
  <si>
    <t>PO 10409</t>
  </si>
  <si>
    <t>PO C-10002436705</t>
  </si>
  <si>
    <t xml:space="preserve">PO 454367686 </t>
  </si>
  <si>
    <t xml:space="preserve">PO 4501435032 </t>
  </si>
  <si>
    <t>PO2301042</t>
  </si>
  <si>
    <t>PO 505614</t>
  </si>
  <si>
    <t>PO 505673</t>
  </si>
  <si>
    <t>PO100243</t>
  </si>
  <si>
    <t>PO 4510690083</t>
  </si>
  <si>
    <t>PO 506168</t>
  </si>
  <si>
    <t>PO 506410</t>
  </si>
  <si>
    <t>PO 506723</t>
  </si>
  <si>
    <t>PO ATE01885</t>
  </si>
  <si>
    <t>IBTI-23067001 Neptune 13392 Data</t>
  </si>
  <si>
    <t>PO 506988</t>
  </si>
  <si>
    <t>IBTI-23021010-4535244-PA08037, 4535102-PA08038, 4535245-PA08069</t>
  </si>
  <si>
    <t>PO 506990</t>
  </si>
  <si>
    <t>IBTI-23021011 4535140-PA08039-1 &amp; 4535096-PA08041-1</t>
  </si>
  <si>
    <t>PO 506991</t>
  </si>
  <si>
    <t>PO2401002</t>
  </si>
  <si>
    <t>IBFIX-23021004 for DMPSX-4200 Fixture</t>
  </si>
  <si>
    <t>PO 4501459281</t>
  </si>
  <si>
    <t>PO2301054</t>
  </si>
  <si>
    <t>2.-Borgwarner Rex-4501459281  Control - Cir Bd - Rematek</t>
  </si>
  <si>
    <t>PO 4501459277</t>
  </si>
  <si>
    <t>PO2301055</t>
  </si>
  <si>
    <t>3.-BorgWarner Rex-4501459277  Power Board (830)</t>
  </si>
  <si>
    <t>PO 507625</t>
  </si>
  <si>
    <t>IBTI-24021012-PA07973, PA07974, PA07975, PA07976</t>
  </si>
  <si>
    <t>PO C-10002578449</t>
  </si>
  <si>
    <t>IBTI-24055004_ Trimble Judo Main</t>
  </si>
  <si>
    <t>PO C-10002579922</t>
  </si>
  <si>
    <t>IBTI-24055005_Trimble Judo Cell Project</t>
  </si>
  <si>
    <t>PO 508157</t>
  </si>
  <si>
    <t>PO-4500036311</t>
  </si>
  <si>
    <t>FIXTURE ICT Post Controller Rev F - QXQ</t>
  </si>
  <si>
    <t>Canceled</t>
  </si>
  <si>
    <t>PO 505672</t>
  </si>
  <si>
    <t>HR320 Final Test Fixture</t>
  </si>
  <si>
    <t>PO 2404230</t>
  </si>
  <si>
    <t xml:space="preserve">ECO 4535244-PA08037, 4535102-PA08038, 4535245-PA0 </t>
  </si>
  <si>
    <t>PO 9000967580</t>
  </si>
  <si>
    <t>IBTFIX-2435001-Cardone Load Box Design</t>
  </si>
  <si>
    <t>Keysight</t>
  </si>
  <si>
    <t>Santa Rosa CA</t>
  </si>
  <si>
    <t>PO C-10002677761</t>
  </si>
  <si>
    <t>IBTI-24055006 Whirpool Freeman - QxQ</t>
  </si>
  <si>
    <t>PO ATE02680</t>
  </si>
  <si>
    <t>FIX67001 13334-000 PCB</t>
  </si>
  <si>
    <t>PO ATE02679</t>
  </si>
  <si>
    <t>FIX67002 13386-002 PCB</t>
  </si>
  <si>
    <t>PO 4506692779</t>
  </si>
  <si>
    <t>Ultrasonic Meter (USM)</t>
  </si>
  <si>
    <t>Solon OH</t>
  </si>
  <si>
    <t>PO FII2452006</t>
  </si>
  <si>
    <t>Extraction Tool Set</t>
  </si>
  <si>
    <t>Foxconn</t>
  </si>
  <si>
    <t>Winsconsin</t>
  </si>
  <si>
    <t>PO 4506703097</t>
  </si>
  <si>
    <t>Olympus fixture</t>
  </si>
  <si>
    <t>PO 513296</t>
  </si>
  <si>
    <t>U200 Programming ECO</t>
  </si>
  <si>
    <t>PO 50154488</t>
  </si>
  <si>
    <t>Control Board PX2</t>
  </si>
  <si>
    <t>PO 4501557223</t>
  </si>
  <si>
    <t>Power Board 350KW (1663)</t>
  </si>
  <si>
    <t>PO 4501557222</t>
  </si>
  <si>
    <t>Control Bd (1650)</t>
  </si>
  <si>
    <t xml:space="preserve">PO 4501557225 </t>
  </si>
  <si>
    <t>Power Board 250W</t>
  </si>
  <si>
    <t>PO 1000280400</t>
  </si>
  <si>
    <t>Fixture PHD 2.8” 5” 7” 10”</t>
  </si>
  <si>
    <t>Parker</t>
  </si>
  <si>
    <t>Canada</t>
  </si>
  <si>
    <t>PO 4506767375</t>
  </si>
  <si>
    <t>Fixture 1210C Previsioning</t>
  </si>
  <si>
    <t>PO 515161</t>
  </si>
  <si>
    <t>4535184/PA08056-1 PCB REV C</t>
  </si>
  <si>
    <t>Years (Month)</t>
  </si>
  <si>
    <t>Quarters (Month)</t>
  </si>
  <si>
    <t>(All)</t>
  </si>
  <si>
    <t>Months (Month)</t>
  </si>
  <si>
    <t>Expense</t>
  </si>
  <si>
    <t>Sum of Gross Margin</t>
  </si>
  <si>
    <t>Average of Margen Real</t>
  </si>
  <si>
    <t>Discount</t>
  </si>
  <si>
    <t>Price</t>
  </si>
  <si>
    <t>Profit</t>
  </si>
  <si>
    <t>New Margin</t>
  </si>
  <si>
    <t>Jun 1/2</t>
  </si>
  <si>
    <t>500K</t>
  </si>
  <si>
    <t>Incentivo para compra Fixture</t>
  </si>
  <si>
    <t>750K</t>
  </si>
  <si>
    <t xml:space="preserve">Servicio </t>
  </si>
  <si>
    <t>1M</t>
  </si>
  <si>
    <t>400K</t>
  </si>
  <si>
    <t>700K</t>
  </si>
  <si>
    <t>1MDD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</si>
</sst>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quot;$&quot;#,##0.00_);[Red]\(&quot;$&quot;#,##0.00\)"/>
    <numFmt numFmtId="165" formatCode="_(&quot;$&quot;* #,##0.00_);_(&quot;$&quot;* \(#,##0.00\);_(&quot;$&quot;* &quot;-&quot;??_);_(@_)"/>
    <numFmt numFmtId="166" formatCode="_-&quot;$&quot;* #,##0.00_-;\-&quot;$&quot;* #,##0.00_-;_-&quot;$&quot;* &quot;-&quot;??_-;_-@_-"/>
    <numFmt numFmtId="167" formatCode="&quot;$&quot;#,##0.00"/>
    <numFmt numFmtId="168" formatCode="[$-409]mmm\-yy;@"/>
    <numFmt numFmtId="169" formatCode="[$-409]d\-mmm\-yy;@"/>
    <numFmt numFmtId="170" formatCode="0.000%"/>
    <numFmt numFmtId="171" formatCode="[$$-409]#,##0.00"/>
  </numFmts>
  <fonts count="36">
    <font>
      <sz val="11"/>
      <color theme="1"/>
      <name val="Calibri"/>
      <family val="2"/>
      <scheme val="minor"/>
    </font>
    <font>
      <sz val="11"/>
      <color theme="1"/>
      <name val="Calibri"/>
      <family val="2"/>
      <scheme val="minor"/>
    </font>
    <font>
      <b/>
      <sz val="10"/>
      <color rgb="FFFFFFFF"/>
      <name val="Calibri Light"/>
      <family val="2"/>
      <scheme val="major"/>
    </font>
    <font>
      <sz val="11"/>
      <color theme="1"/>
      <name val="Calibri Light"/>
      <family val="2"/>
      <scheme val="major"/>
    </font>
    <font>
      <b/>
      <sz val="10"/>
      <color theme="1"/>
      <name val="Calibri Light"/>
      <family val="2"/>
      <scheme val="major"/>
    </font>
    <font>
      <sz val="10"/>
      <color theme="1"/>
      <name val="Calibri Light"/>
      <family val="2"/>
      <scheme val="major"/>
    </font>
    <font>
      <sz val="10"/>
      <color rgb="FF38761D"/>
      <name val="Calibri Light"/>
      <family val="2"/>
      <scheme val="major"/>
    </font>
    <font>
      <sz val="10"/>
      <name val="Calibri Light"/>
      <family val="2"/>
      <scheme val="major"/>
    </font>
    <font>
      <sz val="11"/>
      <name val="Calibri Light"/>
      <family val="2"/>
      <scheme val="major"/>
    </font>
    <font>
      <b/>
      <sz val="12"/>
      <color theme="1"/>
      <name val="Calibri"/>
      <family val="2"/>
      <scheme val="minor"/>
    </font>
    <font>
      <b/>
      <sz val="10"/>
      <color theme="0"/>
      <name val="Calibri Light"/>
      <family val="2"/>
      <scheme val="major"/>
    </font>
    <font>
      <sz val="10"/>
      <color theme="0"/>
      <name val="Calibri Light"/>
      <family val="2"/>
      <scheme val="major"/>
    </font>
    <font>
      <sz val="11"/>
      <color theme="0"/>
      <name val="Calibri Light"/>
      <family val="2"/>
      <scheme val="major"/>
    </font>
    <font>
      <sz val="28"/>
      <color theme="0"/>
      <name val="Calibri Light"/>
      <family val="2"/>
      <scheme val="major"/>
    </font>
    <font>
      <b/>
      <sz val="48"/>
      <color theme="0"/>
      <name val="Poppins"/>
    </font>
    <font>
      <sz val="10"/>
      <color theme="1"/>
      <name val="Poppins"/>
    </font>
    <font>
      <i/>
      <sz val="10"/>
      <name val="Calibri Light"/>
      <family val="2"/>
      <scheme val="major"/>
    </font>
    <font>
      <sz val="10"/>
      <name val="Arial"/>
      <family val="2"/>
    </font>
    <font>
      <sz val="10"/>
      <color rgb="FF000000"/>
      <name val="Arial"/>
      <family val="2"/>
    </font>
    <font>
      <b/>
      <sz val="14"/>
      <color theme="0"/>
      <name val="Calibri Light"/>
      <family val="2"/>
      <scheme val="major"/>
    </font>
    <font>
      <b/>
      <sz val="11"/>
      <color theme="1"/>
      <name val="Calibri Light"/>
      <family val="2"/>
      <scheme val="major"/>
    </font>
    <font>
      <sz val="11"/>
      <color theme="0"/>
      <name val="Calibri"/>
      <family val="2"/>
      <scheme val="minor"/>
    </font>
    <font>
      <b/>
      <sz val="11"/>
      <color theme="1"/>
      <name val="Calibri"/>
      <family val="2"/>
      <scheme val="minor"/>
    </font>
    <font>
      <b/>
      <sz val="10"/>
      <name val="Calibri Light"/>
      <family val="2"/>
      <scheme val="major"/>
    </font>
    <font>
      <b/>
      <sz val="10"/>
      <color rgb="FFFF0000"/>
      <name val="Calibri Light"/>
      <family val="2"/>
      <scheme val="major"/>
    </font>
    <font>
      <b/>
      <sz val="28"/>
      <color theme="1"/>
      <name val="Calibri"/>
      <family val="2"/>
      <scheme val="minor"/>
    </font>
    <font>
      <sz val="10"/>
      <name val="Poppins"/>
    </font>
    <font>
      <sz val="10"/>
      <color theme="0"/>
      <name val="Poppins"/>
    </font>
    <font>
      <b/>
      <sz val="11"/>
      <color theme="0"/>
      <name val="Calibri"/>
      <family val="2"/>
      <scheme val="minor"/>
    </font>
    <font>
      <sz val="10"/>
      <color rgb="FFFF0000"/>
      <name val="Calibri Light"/>
      <family val="2"/>
      <scheme val="major"/>
    </font>
    <font>
      <sz val="8"/>
      <name val="Calibri"/>
      <family val="2"/>
      <scheme val="minor"/>
    </font>
    <font>
      <sz val="10"/>
      <color theme="1"/>
      <name val="Calibri"/>
      <family val="2"/>
      <scheme val="minor"/>
    </font>
    <font>
      <sz val="9"/>
      <color indexed="81"/>
      <name val="Tahoma"/>
      <charset val="1"/>
    </font>
    <font>
      <b/>
      <sz val="9"/>
      <color indexed="81"/>
      <name val="Tahoma"/>
      <charset val="1"/>
    </font>
    <font>
      <sz val="12"/>
      <color rgb="FF000000"/>
      <name val="Calibri"/>
      <family val="2"/>
    </font>
    <font>
      <sz val="11"/>
      <color theme="1"/>
      <name val="Calibri"/>
      <family val="2"/>
    </font>
  </fonts>
  <fills count="19">
    <fill>
      <patternFill patternType="none"/>
    </fill>
    <fill>
      <patternFill patternType="gray125"/>
    </fill>
    <fill>
      <patternFill patternType="solid">
        <fgColor rgb="FF002060"/>
        <bgColor indexed="64"/>
      </patternFill>
    </fill>
    <fill>
      <patternFill patternType="solid">
        <fgColor rgb="FF009999"/>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6" tint="0.79998168889431442"/>
        <bgColor indexed="64"/>
      </patternFill>
    </fill>
    <fill>
      <patternFill patternType="solid">
        <fgColor rgb="FF66FF99"/>
        <bgColor indexed="64"/>
      </patternFill>
    </fill>
    <fill>
      <patternFill patternType="solid">
        <fgColor rgb="FFFF0000"/>
        <bgColor indexed="64"/>
      </patternFill>
    </fill>
    <fill>
      <patternFill patternType="solid">
        <fgColor rgb="FF00FF00"/>
        <bgColor indexed="64"/>
      </patternFill>
    </fill>
    <fill>
      <patternFill patternType="solid">
        <fgColor rgb="FFFFFFCC"/>
        <bgColor indexed="64"/>
      </patternFill>
    </fill>
    <fill>
      <patternFill patternType="solid">
        <fgColor rgb="FF99FFCC"/>
        <bgColor indexed="64"/>
      </patternFill>
    </fill>
    <fill>
      <patternFill patternType="solid">
        <fgColor rgb="FFCCCCFF"/>
        <bgColor indexed="64"/>
      </patternFill>
    </fill>
    <fill>
      <patternFill patternType="solid">
        <fgColor theme="0"/>
        <bgColor indexed="64"/>
      </patternFill>
    </fill>
    <fill>
      <patternFill patternType="gray0625">
        <bgColor theme="0" tint="-4.9989318521683403E-2"/>
      </patternFill>
    </fill>
    <fill>
      <patternFill patternType="solid">
        <fgColor rgb="FFFFC000"/>
        <bgColor indexed="64"/>
      </patternFill>
    </fill>
    <fill>
      <patternFill patternType="solid">
        <fgColor rgb="FFFFFF00"/>
        <bgColor rgb="FF000000"/>
      </patternFill>
    </fill>
    <fill>
      <patternFill patternType="solid">
        <fgColor rgb="FFFFFFFF"/>
        <bgColor rgb="FF000000"/>
      </patternFill>
    </fill>
    <fill>
      <patternFill patternType="solid">
        <fgColor theme="4" tint="0.79998168889431442"/>
        <bgColor indexed="64"/>
      </patternFill>
    </fill>
  </fills>
  <borders count="58">
    <border>
      <left/>
      <right/>
      <top/>
      <bottom/>
      <diagonal/>
    </border>
    <border>
      <left/>
      <right/>
      <top/>
      <bottom style="dotted">
        <color rgb="FF000000"/>
      </bottom>
      <diagonal/>
    </border>
    <border>
      <left style="medium">
        <color theme="1" tint="0.499984740745262"/>
      </left>
      <right style="thin">
        <color theme="1" tint="0.499984740745262"/>
      </right>
      <top style="medium">
        <color theme="1" tint="0.499984740745262"/>
      </top>
      <bottom style="medium">
        <color theme="1" tint="0.499984740745262"/>
      </bottom>
      <diagonal/>
    </border>
    <border>
      <left style="thin">
        <color theme="1" tint="0.499984740745262"/>
      </left>
      <right style="thin">
        <color theme="1" tint="0.499984740745262"/>
      </right>
      <top style="medium">
        <color theme="1" tint="0.499984740745262"/>
      </top>
      <bottom style="medium">
        <color theme="1" tint="0.499984740745262"/>
      </bottom>
      <diagonal/>
    </border>
    <border>
      <left style="medium">
        <color theme="1" tint="0.499984740745262"/>
      </left>
      <right style="thin">
        <color theme="1" tint="0.499984740745262"/>
      </right>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style="medium">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double">
        <color theme="1" tint="0.499984740745262"/>
      </bottom>
      <diagonal/>
    </border>
    <border>
      <left style="medium">
        <color theme="1" tint="0.499984740745262"/>
      </left>
      <right style="thin">
        <color theme="1" tint="0.499984740745262"/>
      </right>
      <top style="medium">
        <color theme="1" tint="0.499984740745262"/>
      </top>
      <bottom style="thin">
        <color theme="1" tint="0.499984740745262"/>
      </bottom>
      <diagonal/>
    </border>
    <border>
      <left style="thin">
        <color theme="1" tint="0.499984740745262"/>
      </left>
      <right style="thin">
        <color theme="1" tint="0.499984740745262"/>
      </right>
      <top style="medium">
        <color theme="1" tint="0.499984740745262"/>
      </top>
      <bottom style="thin">
        <color theme="1" tint="0.499984740745262"/>
      </bottom>
      <diagonal/>
    </border>
    <border>
      <left/>
      <right style="medium">
        <color rgb="FFFFFFFF"/>
      </right>
      <top style="medium">
        <color theme="0"/>
      </top>
      <bottom style="medium">
        <color theme="0"/>
      </bottom>
      <diagonal/>
    </border>
    <border>
      <left/>
      <right/>
      <top style="medium">
        <color indexed="64"/>
      </top>
      <bottom style="medium">
        <color theme="0"/>
      </bottom>
      <diagonal/>
    </border>
    <border>
      <left/>
      <right style="medium">
        <color indexed="64"/>
      </right>
      <top style="medium">
        <color indexed="64"/>
      </top>
      <bottom style="medium">
        <color theme="0"/>
      </bottom>
      <diagonal/>
    </border>
    <border>
      <left style="medium">
        <color indexed="64"/>
      </left>
      <right/>
      <top/>
      <bottom style="dotted">
        <color rgb="FF000000"/>
      </bottom>
      <diagonal/>
    </border>
    <border>
      <left/>
      <right style="medium">
        <color indexed="64"/>
      </right>
      <top/>
      <bottom style="dotted">
        <color rgb="FF000000"/>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theme="0"/>
      </bottom>
      <diagonal/>
    </border>
    <border>
      <left style="medium">
        <color indexed="64"/>
      </left>
      <right style="medium">
        <color indexed="64"/>
      </right>
      <top/>
      <bottom style="dotted">
        <color rgb="FF000000"/>
      </bottom>
      <diagonal/>
    </border>
    <border>
      <left style="medium">
        <color indexed="64"/>
      </left>
      <right style="medium">
        <color indexed="64"/>
      </right>
      <top/>
      <bottom style="medium">
        <color indexed="64"/>
      </bottom>
      <diagonal/>
    </border>
    <border>
      <left style="medium">
        <color indexed="64"/>
      </left>
      <right style="medium">
        <color rgb="FFFFFFFF"/>
      </right>
      <top style="medium">
        <color indexed="64"/>
      </top>
      <bottom style="medium">
        <color theme="0"/>
      </bottom>
      <diagonal/>
    </border>
    <border>
      <left/>
      <right style="medium">
        <color rgb="FFFFFFFF"/>
      </right>
      <top style="medium">
        <color indexed="64"/>
      </top>
      <bottom style="medium">
        <color theme="0"/>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theme="0"/>
      </left>
      <right style="medium">
        <color rgb="FFFFFFFF"/>
      </right>
      <top/>
      <bottom/>
      <diagonal/>
    </border>
    <border>
      <left/>
      <right style="medium">
        <color rgb="FFFFFFFF"/>
      </right>
      <top/>
      <bottom/>
      <diagonal/>
    </border>
    <border>
      <left style="medium">
        <color indexed="64"/>
      </left>
      <right style="medium">
        <color rgb="FFFFFFFF"/>
      </right>
      <top/>
      <bottom/>
      <diagonal/>
    </border>
    <border>
      <left style="dotted">
        <color indexed="64"/>
      </left>
      <right style="dotted">
        <color indexed="64"/>
      </right>
      <top style="dotted">
        <color indexed="64"/>
      </top>
      <bottom style="dotted">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rgb="FFFFFFFF"/>
      </right>
      <top style="medium">
        <color theme="0"/>
      </top>
      <bottom/>
      <diagonal/>
    </border>
    <border>
      <left style="dotted">
        <color indexed="64"/>
      </left>
      <right style="dotted">
        <color indexed="64"/>
      </right>
      <top style="dotted">
        <color indexed="64"/>
      </top>
      <bottom style="medium">
        <color indexed="64"/>
      </bottom>
      <diagonal/>
    </border>
    <border>
      <left style="medium">
        <color indexed="64"/>
      </left>
      <right style="medium">
        <color rgb="FFFFFFFF"/>
      </right>
      <top style="medium">
        <color theme="0"/>
      </top>
      <bottom/>
      <diagonal/>
    </border>
    <border>
      <left/>
      <right/>
      <top/>
      <bottom style="thin">
        <color indexed="64"/>
      </bottom>
      <diagonal/>
    </border>
    <border>
      <left/>
      <right/>
      <top/>
      <bottom style="medium">
        <color theme="0"/>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right/>
      <top/>
      <bottom style="hair">
        <color indexed="64"/>
      </bottom>
      <diagonal/>
    </border>
    <border>
      <left style="hair">
        <color indexed="64"/>
      </left>
      <right style="hair">
        <color indexed="64"/>
      </right>
      <top style="hair">
        <color indexed="64"/>
      </top>
      <bottom/>
      <diagonal/>
    </border>
    <border>
      <left style="thin">
        <color rgb="FFD5D3D1"/>
      </left>
      <right style="thin">
        <color rgb="FFD5D3D1"/>
      </right>
      <top style="thin">
        <color rgb="FFD5D3D1"/>
      </top>
      <bottom style="thin">
        <color rgb="FFD5D3D1"/>
      </bottom>
      <diagonal/>
    </border>
    <border>
      <left style="thin">
        <color rgb="FFD5D3D1"/>
      </left>
      <right style="thin">
        <color rgb="FFD5D3D1"/>
      </right>
      <top/>
      <bottom style="thin">
        <color rgb="FFD5D3D1"/>
      </bottom>
      <diagonal/>
    </border>
    <border>
      <left style="thin">
        <color indexed="64"/>
      </left>
      <right style="thin">
        <color indexed="64"/>
      </right>
      <top style="thin">
        <color indexed="64"/>
      </top>
      <bottom style="thin">
        <color indexed="64"/>
      </bottom>
      <diagonal/>
    </border>
  </borders>
  <cellStyleXfs count="6">
    <xf numFmtId="0" fontId="0" fillId="0" borderId="0"/>
    <xf numFmtId="165" fontId="1" fillId="0" borderId="0" applyFont="0" applyFill="0" applyBorder="0" applyAlignment="0" applyProtection="0"/>
    <xf numFmtId="9" fontId="1" fillId="0" borderId="0" applyFont="0" applyFill="0" applyBorder="0" applyAlignment="0" applyProtection="0"/>
    <xf numFmtId="166" fontId="1" fillId="0" borderId="0" applyFont="0" applyFill="0" applyBorder="0" applyAlignment="0" applyProtection="0"/>
    <xf numFmtId="0" fontId="17" fillId="0" borderId="0"/>
    <xf numFmtId="0" fontId="18" fillId="0" borderId="0"/>
  </cellStyleXfs>
  <cellXfs count="302">
    <xf numFmtId="0" fontId="0" fillId="0" borderId="0" xfId="0"/>
    <xf numFmtId="0" fontId="3" fillId="0" borderId="0" xfId="0" applyFont="1"/>
    <xf numFmtId="0" fontId="5" fillId="0" borderId="1" xfId="0" applyFont="1" applyBorder="1" applyAlignment="1">
      <alignment horizontal="center" vertical="center" wrapText="1"/>
    </xf>
    <xf numFmtId="165" fontId="5" fillId="0" borderId="1" xfId="1" applyFont="1" applyFill="1" applyBorder="1" applyAlignment="1">
      <alignment horizontal="center" vertical="center" wrapText="1"/>
    </xf>
    <xf numFmtId="0" fontId="5" fillId="0" borderId="1" xfId="0" applyFont="1" applyBorder="1" applyAlignment="1">
      <alignment vertical="center" wrapText="1"/>
    </xf>
    <xf numFmtId="0" fontId="6" fillId="0" borderId="1" xfId="0" applyFont="1" applyBorder="1" applyAlignment="1">
      <alignment horizontal="center" vertical="center" wrapText="1"/>
    </xf>
    <xf numFmtId="15" fontId="5" fillId="0" borderId="1" xfId="0" applyNumberFormat="1" applyFont="1" applyBorder="1" applyAlignment="1">
      <alignment horizontal="center" vertical="center" wrapText="1"/>
    </xf>
    <xf numFmtId="165" fontId="3" fillId="0" borderId="0" xfId="1" applyFont="1" applyFill="1"/>
    <xf numFmtId="0" fontId="7" fillId="0" borderId="1" xfId="0" applyFont="1" applyBorder="1" applyAlignment="1">
      <alignment horizontal="center" vertical="center" wrapText="1"/>
    </xf>
    <xf numFmtId="0" fontId="8" fillId="0" borderId="0" xfId="0" applyFont="1"/>
    <xf numFmtId="0" fontId="7" fillId="0" borderId="1" xfId="0" applyFont="1" applyBorder="1" applyAlignment="1">
      <alignment vertical="center" wrapText="1"/>
    </xf>
    <xf numFmtId="0" fontId="0" fillId="0" borderId="0" xfId="0" pivotButton="1"/>
    <xf numFmtId="165" fontId="0" fillId="0" borderId="0" xfId="0" applyNumberFormat="1"/>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0" fillId="0" borderId="5"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10" xfId="0" applyBorder="1" applyAlignment="1">
      <alignment horizontal="center"/>
    </xf>
    <xf numFmtId="0" fontId="9" fillId="0" borderId="2" xfId="0" applyFont="1" applyBorder="1"/>
    <xf numFmtId="0" fontId="9" fillId="0" borderId="3" xfId="0" applyFont="1" applyBorder="1"/>
    <xf numFmtId="165" fontId="0" fillId="0" borderId="5" xfId="1" applyFont="1" applyFill="1" applyBorder="1"/>
    <xf numFmtId="166" fontId="9" fillId="0" borderId="3" xfId="0" applyNumberFormat="1" applyFont="1" applyBorder="1"/>
    <xf numFmtId="168" fontId="3" fillId="0" borderId="0" xfId="0" applyNumberFormat="1" applyFont="1"/>
    <xf numFmtId="168" fontId="12" fillId="2" borderId="0" xfId="0" applyNumberFormat="1" applyFont="1" applyFill="1"/>
    <xf numFmtId="0" fontId="2" fillId="2" borderId="11"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horizontal="centerContinuous" vertical="center"/>
    </xf>
    <xf numFmtId="0" fontId="0" fillId="0" borderId="0" xfId="0" applyAlignment="1">
      <alignment horizontal="center" vertical="center"/>
    </xf>
    <xf numFmtId="0" fontId="14" fillId="2" borderId="0" xfId="0" applyFont="1" applyFill="1" applyAlignment="1">
      <alignment horizontal="centerContinuous" vertical="center"/>
    </xf>
    <xf numFmtId="0" fontId="10" fillId="2" borderId="11" xfId="0" applyFont="1" applyFill="1" applyBorder="1" applyAlignment="1">
      <alignment horizontal="center" vertical="center" wrapText="1"/>
    </xf>
    <xf numFmtId="165" fontId="5" fillId="0" borderId="17" xfId="1" applyFont="1" applyFill="1" applyBorder="1" applyAlignment="1">
      <alignment horizontal="center" vertical="center" wrapText="1"/>
    </xf>
    <xf numFmtId="164" fontId="5" fillId="0" borderId="1" xfId="1" applyNumberFormat="1" applyFont="1" applyFill="1" applyBorder="1" applyAlignment="1">
      <alignment horizontal="center" vertical="center" wrapText="1"/>
    </xf>
    <xf numFmtId="165" fontId="13" fillId="2" borderId="0" xfId="1" applyFont="1" applyFill="1" applyAlignment="1">
      <alignment horizontal="centerContinuous" vertical="center"/>
    </xf>
    <xf numFmtId="0" fontId="0" fillId="0" borderId="0" xfId="0" applyAlignment="1">
      <alignment horizontal="left"/>
    </xf>
    <xf numFmtId="0" fontId="0" fillId="0" borderId="0" xfId="0" applyAlignment="1">
      <alignment horizontal="left" indent="1"/>
    </xf>
    <xf numFmtId="0" fontId="5" fillId="0" borderId="1" xfId="0" applyFont="1" applyBorder="1" applyAlignment="1">
      <alignment horizontal="left" vertical="center" wrapText="1"/>
    </xf>
    <xf numFmtId="15" fontId="7" fillId="0" borderId="1" xfId="0" applyNumberFormat="1" applyFont="1" applyBorder="1" applyAlignment="1">
      <alignment horizontal="center" vertical="center" wrapText="1"/>
    </xf>
    <xf numFmtId="15" fontId="16" fillId="0" borderId="1" xfId="0" applyNumberFormat="1" applyFont="1" applyBorder="1" applyAlignment="1">
      <alignment horizontal="center" vertical="center" wrapText="1"/>
    </xf>
    <xf numFmtId="0" fontId="3" fillId="0" borderId="0" xfId="0" applyFont="1" applyAlignment="1">
      <alignment horizontal="center"/>
    </xf>
    <xf numFmtId="0" fontId="7" fillId="0" borderId="1" xfId="0" applyFont="1" applyBorder="1" applyAlignment="1">
      <alignment horizontal="left" vertical="center" wrapText="1"/>
    </xf>
    <xf numFmtId="165" fontId="5" fillId="11" borderId="1" xfId="1" applyFont="1" applyFill="1" applyBorder="1" applyAlignment="1">
      <alignment horizontal="center" vertical="center" wrapText="1"/>
    </xf>
    <xf numFmtId="165" fontId="10" fillId="3" borderId="26" xfId="1" applyFont="1" applyFill="1" applyBorder="1" applyAlignment="1">
      <alignment horizontal="center" vertical="center" wrapText="1"/>
    </xf>
    <xf numFmtId="165" fontId="11" fillId="3" borderId="27" xfId="1" applyFont="1" applyFill="1" applyBorder="1" applyAlignment="1">
      <alignment horizontal="center" vertical="center" wrapText="1"/>
    </xf>
    <xf numFmtId="165" fontId="11" fillId="3" borderId="28" xfId="1" applyFont="1" applyFill="1" applyBorder="1" applyAlignment="1">
      <alignment horizontal="center" vertical="center" wrapText="1"/>
    </xf>
    <xf numFmtId="0" fontId="2" fillId="2" borderId="30" xfId="0" applyFont="1" applyFill="1" applyBorder="1" applyAlignment="1">
      <alignment horizontal="center" vertical="center" wrapText="1"/>
    </xf>
    <xf numFmtId="168" fontId="2" fillId="2" borderId="29" xfId="0" applyNumberFormat="1" applyFont="1" applyFill="1" applyBorder="1" applyAlignment="1">
      <alignment horizontal="center" vertical="center" wrapText="1"/>
    </xf>
    <xf numFmtId="165" fontId="2" fillId="2" borderId="30" xfId="1" applyFont="1" applyFill="1" applyBorder="1" applyAlignment="1">
      <alignment horizontal="center" vertical="center" wrapText="1"/>
    </xf>
    <xf numFmtId="165" fontId="10" fillId="2" borderId="13" xfId="1" applyFont="1" applyFill="1" applyBorder="1" applyAlignment="1">
      <alignment horizontal="center" vertical="center" wrapText="1"/>
    </xf>
    <xf numFmtId="165" fontId="2" fillId="2" borderId="12" xfId="1" applyFont="1" applyFill="1" applyBorder="1" applyAlignment="1">
      <alignment horizontal="center" vertical="center" wrapText="1"/>
    </xf>
    <xf numFmtId="168" fontId="7" fillId="0" borderId="14" xfId="0" applyNumberFormat="1" applyFont="1" applyBorder="1" applyAlignment="1">
      <alignment horizontal="center" vertical="center" wrapText="1"/>
    </xf>
    <xf numFmtId="168" fontId="7" fillId="0" borderId="16" xfId="0" applyNumberFormat="1" applyFont="1" applyBorder="1" applyAlignment="1">
      <alignment horizontal="center" vertical="center" wrapText="1"/>
    </xf>
    <xf numFmtId="0" fontId="7" fillId="0" borderId="17" xfId="0" applyFont="1" applyBorder="1" applyAlignment="1">
      <alignment horizontal="center" vertical="center" wrapText="1"/>
    </xf>
    <xf numFmtId="0" fontId="7" fillId="0" borderId="17" xfId="0" applyFont="1" applyBorder="1" applyAlignment="1">
      <alignment vertical="center" wrapText="1"/>
    </xf>
    <xf numFmtId="0" fontId="7" fillId="0" borderId="17" xfId="0" applyFont="1" applyBorder="1" applyAlignment="1">
      <alignment horizontal="left" vertical="center" wrapText="1"/>
    </xf>
    <xf numFmtId="0" fontId="5" fillId="0" borderId="17" xfId="0" applyFont="1" applyBorder="1" applyAlignment="1">
      <alignment vertical="center" wrapText="1"/>
    </xf>
    <xf numFmtId="165" fontId="11" fillId="2" borderId="1" xfId="1" applyFont="1" applyFill="1" applyBorder="1" applyAlignment="1">
      <alignment horizontal="center" vertical="center" wrapText="1"/>
    </xf>
    <xf numFmtId="165" fontId="11" fillId="2" borderId="17" xfId="1" applyFont="1" applyFill="1" applyBorder="1" applyAlignment="1">
      <alignment horizontal="center" vertical="center" wrapText="1"/>
    </xf>
    <xf numFmtId="165" fontId="5" fillId="11" borderId="17" xfId="1" applyFont="1" applyFill="1" applyBorder="1" applyAlignment="1">
      <alignment horizontal="center" vertical="center" wrapText="1"/>
    </xf>
    <xf numFmtId="165" fontId="11" fillId="2" borderId="15" xfId="1" applyFont="1" applyFill="1" applyBorder="1" applyAlignment="1">
      <alignment horizontal="center" vertical="center" wrapText="1"/>
    </xf>
    <xf numFmtId="165" fontId="11" fillId="2" borderId="18" xfId="1" applyFont="1" applyFill="1" applyBorder="1" applyAlignment="1">
      <alignment horizontal="center" vertical="center" wrapText="1"/>
    </xf>
    <xf numFmtId="165" fontId="5" fillId="10" borderId="1" xfId="1" applyFont="1" applyFill="1" applyBorder="1" applyAlignment="1">
      <alignment horizontal="center" vertical="center" wrapText="1"/>
    </xf>
    <xf numFmtId="165" fontId="5" fillId="10" borderId="17" xfId="1" applyFont="1" applyFill="1" applyBorder="1" applyAlignment="1">
      <alignment horizontal="center" vertical="center" wrapText="1"/>
    </xf>
    <xf numFmtId="165" fontId="5" fillId="12" borderId="1" xfId="1" applyFont="1" applyFill="1" applyBorder="1" applyAlignment="1">
      <alignment horizontal="center" vertical="center" wrapText="1"/>
    </xf>
    <xf numFmtId="0" fontId="5" fillId="0" borderId="17" xfId="0" applyFont="1" applyBorder="1" applyAlignment="1">
      <alignment horizontal="center" vertical="center" wrapText="1"/>
    </xf>
    <xf numFmtId="0" fontId="3" fillId="0" borderId="0" xfId="0" applyFont="1" applyAlignment="1">
      <alignment horizontal="center" vertical="center"/>
    </xf>
    <xf numFmtId="165" fontId="3" fillId="0" borderId="25" xfId="0" applyNumberFormat="1" applyFont="1" applyBorder="1" applyAlignment="1">
      <alignment vertical="center"/>
    </xf>
    <xf numFmtId="165" fontId="3" fillId="0" borderId="25" xfId="1" applyFont="1" applyBorder="1" applyAlignment="1">
      <alignment vertical="center"/>
    </xf>
    <xf numFmtId="0" fontId="3" fillId="0" borderId="31" xfId="0" applyFont="1" applyBorder="1"/>
    <xf numFmtId="0" fontId="3" fillId="12" borderId="19" xfId="0" applyFont="1" applyFill="1" applyBorder="1"/>
    <xf numFmtId="0" fontId="3" fillId="0" borderId="35" xfId="0" applyFont="1" applyBorder="1"/>
    <xf numFmtId="0" fontId="3" fillId="0" borderId="36" xfId="0" applyFont="1" applyBorder="1"/>
    <xf numFmtId="0" fontId="3" fillId="10" borderId="37" xfId="0" applyFont="1" applyFill="1" applyBorder="1"/>
    <xf numFmtId="0" fontId="3" fillId="0" borderId="38" xfId="0" applyFont="1" applyBorder="1"/>
    <xf numFmtId="0" fontId="3" fillId="11" borderId="39" xfId="0" applyFont="1" applyFill="1" applyBorder="1"/>
    <xf numFmtId="0" fontId="3" fillId="0" borderId="24" xfId="0" applyFont="1" applyBorder="1"/>
    <xf numFmtId="0" fontId="5" fillId="5"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25" fillId="0" borderId="0" xfId="0" applyFont="1"/>
    <xf numFmtId="0" fontId="15" fillId="0" borderId="0" xfId="0" applyFont="1"/>
    <xf numFmtId="0" fontId="15" fillId="0" borderId="0" xfId="0" applyFont="1" applyAlignment="1">
      <alignment horizontal="left"/>
    </xf>
    <xf numFmtId="0" fontId="15" fillId="0" borderId="0" xfId="0" applyFont="1" applyAlignment="1">
      <alignment horizontal="left" indent="1"/>
    </xf>
    <xf numFmtId="0" fontId="14" fillId="0" borderId="0" xfId="0" applyFont="1" applyAlignment="1">
      <alignment horizontal="centerContinuous" vertical="center"/>
    </xf>
    <xf numFmtId="168" fontId="2" fillId="2" borderId="40" xfId="0" applyNumberFormat="1" applyFont="1" applyFill="1" applyBorder="1" applyAlignment="1">
      <alignment horizontal="center" vertical="center" wrapText="1"/>
    </xf>
    <xf numFmtId="0" fontId="2" fillId="2" borderId="41" xfId="0" applyFont="1" applyFill="1" applyBorder="1" applyAlignment="1">
      <alignment horizontal="center" vertical="center" wrapText="1"/>
    </xf>
    <xf numFmtId="0" fontId="2" fillId="2" borderId="41" xfId="0" applyFont="1" applyFill="1" applyBorder="1" applyAlignment="1">
      <alignment vertical="center" wrapText="1"/>
    </xf>
    <xf numFmtId="165" fontId="2" fillId="2" borderId="41" xfId="1" applyFont="1" applyFill="1" applyBorder="1" applyAlignment="1">
      <alignment horizontal="center" vertical="center" wrapText="1"/>
    </xf>
    <xf numFmtId="165" fontId="2" fillId="2" borderId="0" xfId="1" applyFont="1" applyFill="1" applyBorder="1" applyAlignment="1">
      <alignment horizontal="center" vertical="center" wrapText="1"/>
    </xf>
    <xf numFmtId="0" fontId="2" fillId="2" borderId="0" xfId="0" applyFont="1" applyFill="1" applyAlignment="1">
      <alignment horizontal="center" vertical="center" wrapText="1"/>
    </xf>
    <xf numFmtId="165" fontId="2" fillId="3" borderId="42" xfId="1" applyFont="1" applyFill="1" applyBorder="1" applyAlignment="1">
      <alignment horizontal="center" vertical="center" wrapText="1"/>
    </xf>
    <xf numFmtId="165" fontId="2" fillId="3" borderId="41" xfId="1" applyFont="1" applyFill="1" applyBorder="1" applyAlignment="1">
      <alignment horizontal="center" vertical="center" wrapText="1"/>
    </xf>
    <xf numFmtId="0" fontId="2" fillId="3" borderId="24" xfId="0" applyFont="1" applyFill="1" applyBorder="1" applyAlignment="1">
      <alignment horizontal="center" vertical="center" wrapText="1"/>
    </xf>
    <xf numFmtId="0" fontId="2" fillId="3" borderId="41" xfId="0" applyFont="1" applyFill="1" applyBorder="1" applyAlignment="1">
      <alignment horizontal="center" vertical="center" wrapText="1"/>
    </xf>
    <xf numFmtId="0" fontId="7" fillId="0" borderId="43" xfId="0" applyFont="1" applyBorder="1" applyAlignment="1">
      <alignment horizontal="center" vertical="center" wrapText="1"/>
    </xf>
    <xf numFmtId="0" fontId="5" fillId="0" borderId="43" xfId="0" applyFont="1" applyBorder="1" applyAlignment="1">
      <alignment vertical="center" wrapText="1"/>
    </xf>
    <xf numFmtId="0" fontId="5" fillId="0" borderId="43" xfId="0" applyFont="1" applyBorder="1" applyAlignment="1">
      <alignment horizontal="center" vertical="center" wrapText="1"/>
    </xf>
    <xf numFmtId="165" fontId="5" fillId="0" borderId="43" xfId="1" applyFont="1" applyFill="1" applyBorder="1" applyAlignment="1">
      <alignment horizontal="center" vertical="center" wrapText="1"/>
    </xf>
    <xf numFmtId="165" fontId="5" fillId="0" borderId="43" xfId="1" applyFont="1" applyFill="1" applyBorder="1" applyAlignment="1">
      <alignment vertical="center" wrapText="1"/>
    </xf>
    <xf numFmtId="0" fontId="0" fillId="0" borderId="33" xfId="0" applyBorder="1"/>
    <xf numFmtId="0" fontId="0" fillId="0" borderId="32" xfId="0" applyBorder="1" applyAlignment="1">
      <alignment horizontal="center" vertical="center"/>
    </xf>
    <xf numFmtId="10" fontId="0" fillId="0" borderId="45" xfId="0" applyNumberFormat="1" applyBorder="1"/>
    <xf numFmtId="0" fontId="0" fillId="0" borderId="23" xfId="0" applyBorder="1" applyAlignment="1">
      <alignment horizontal="left" indent="1"/>
    </xf>
    <xf numFmtId="10" fontId="21" fillId="2" borderId="45" xfId="0" applyNumberFormat="1" applyFont="1" applyFill="1" applyBorder="1"/>
    <xf numFmtId="0" fontId="0" fillId="0" borderId="25" xfId="0" applyBorder="1"/>
    <xf numFmtId="165" fontId="0" fillId="0" borderId="23" xfId="0" applyNumberFormat="1" applyBorder="1"/>
    <xf numFmtId="0" fontId="0" fillId="0" borderId="32" xfId="0" pivotButton="1" applyBorder="1"/>
    <xf numFmtId="0" fontId="0" fillId="0" borderId="32" xfId="0" applyBorder="1" applyAlignment="1">
      <alignment horizontal="left"/>
    </xf>
    <xf numFmtId="0" fontId="0" fillId="0" borderId="32" xfId="0" applyBorder="1" applyAlignment="1">
      <alignment horizontal="left" indent="1"/>
    </xf>
    <xf numFmtId="0" fontId="0" fillId="0" borderId="20" xfId="0" applyBorder="1" applyAlignment="1">
      <alignment horizontal="left" indent="1"/>
    </xf>
    <xf numFmtId="0" fontId="0" fillId="0" borderId="16" xfId="0" applyBorder="1" applyAlignment="1">
      <alignment horizontal="left" indent="1"/>
    </xf>
    <xf numFmtId="165" fontId="21" fillId="2" borderId="20" xfId="0" applyNumberFormat="1" applyFont="1" applyFill="1" applyBorder="1"/>
    <xf numFmtId="165" fontId="21" fillId="2" borderId="21" xfId="0" applyNumberFormat="1" applyFont="1" applyFill="1" applyBorder="1"/>
    <xf numFmtId="10" fontId="21" fillId="2" borderId="44" xfId="0" applyNumberFormat="1" applyFont="1" applyFill="1" applyBorder="1"/>
    <xf numFmtId="0" fontId="21" fillId="2" borderId="32" xfId="0" applyFont="1" applyFill="1" applyBorder="1" applyAlignment="1">
      <alignment horizontal="left"/>
    </xf>
    <xf numFmtId="165" fontId="21" fillId="2" borderId="23" xfId="0" applyNumberFormat="1" applyFont="1" applyFill="1" applyBorder="1"/>
    <xf numFmtId="165" fontId="21" fillId="2" borderId="32" xfId="0" applyNumberFormat="1" applyFont="1" applyFill="1" applyBorder="1"/>
    <xf numFmtId="165" fontId="21" fillId="2" borderId="33" xfId="0" applyNumberFormat="1" applyFont="1" applyFill="1" applyBorder="1"/>
    <xf numFmtId="10" fontId="21" fillId="2" borderId="25" xfId="0" applyNumberFormat="1" applyFont="1" applyFill="1" applyBorder="1"/>
    <xf numFmtId="165" fontId="0" fillId="0" borderId="32" xfId="0" applyNumberFormat="1" applyBorder="1"/>
    <xf numFmtId="167" fontId="0" fillId="0" borderId="33" xfId="0" applyNumberFormat="1" applyBorder="1"/>
    <xf numFmtId="165" fontId="0" fillId="0" borderId="33" xfId="0" applyNumberFormat="1" applyBorder="1"/>
    <xf numFmtId="10" fontId="0" fillId="0" borderId="25" xfId="0" applyNumberFormat="1" applyBorder="1"/>
    <xf numFmtId="0" fontId="0" fillId="5" borderId="23" xfId="0" applyFill="1" applyBorder="1" applyAlignment="1">
      <alignment horizontal="left" indent="1"/>
    </xf>
    <xf numFmtId="165" fontId="0" fillId="5" borderId="23" xfId="0" applyNumberFormat="1" applyFill="1" applyBorder="1"/>
    <xf numFmtId="10" fontId="0" fillId="5" borderId="45" xfId="0" applyNumberFormat="1" applyFill="1" applyBorder="1"/>
    <xf numFmtId="0" fontId="0" fillId="0" borderId="25" xfId="0" applyBorder="1" applyAlignment="1">
      <alignment horizontal="center" vertical="center"/>
    </xf>
    <xf numFmtId="10" fontId="21" fillId="2" borderId="44" xfId="0" applyNumberFormat="1" applyFont="1" applyFill="1" applyBorder="1" applyAlignment="1">
      <alignment horizontal="center" vertical="center"/>
    </xf>
    <xf numFmtId="10" fontId="0" fillId="0" borderId="45" xfId="0" applyNumberFormat="1" applyBorder="1" applyAlignment="1">
      <alignment horizontal="center" vertical="center"/>
    </xf>
    <xf numFmtId="10" fontId="21" fillId="2" borderId="45" xfId="0" applyNumberFormat="1" applyFont="1" applyFill="1" applyBorder="1" applyAlignment="1">
      <alignment horizontal="center" vertical="center"/>
    </xf>
    <xf numFmtId="10" fontId="21" fillId="2" borderId="25" xfId="0" applyNumberFormat="1" applyFont="1" applyFill="1" applyBorder="1" applyAlignment="1">
      <alignment horizontal="center" vertical="center"/>
    </xf>
    <xf numFmtId="10" fontId="0" fillId="0" borderId="25" xfId="0" applyNumberFormat="1" applyBorder="1" applyAlignment="1">
      <alignment horizontal="center" vertical="center"/>
    </xf>
    <xf numFmtId="10" fontId="0" fillId="5" borderId="45" xfId="0" applyNumberFormat="1" applyFill="1" applyBorder="1" applyAlignment="1">
      <alignment horizontal="center" vertical="center"/>
    </xf>
    <xf numFmtId="0" fontId="15" fillId="0" borderId="0" xfId="0" applyFont="1" applyAlignment="1">
      <alignment horizontal="left" indent="2"/>
    </xf>
    <xf numFmtId="0" fontId="27" fillId="2" borderId="0" xfId="0" applyFont="1" applyFill="1" applyAlignment="1">
      <alignment horizontal="left" indent="1"/>
    </xf>
    <xf numFmtId="167" fontId="15" fillId="0" borderId="0" xfId="0" applyNumberFormat="1" applyFont="1"/>
    <xf numFmtId="167" fontId="27" fillId="2" borderId="0" xfId="0" applyNumberFormat="1" applyFont="1" applyFill="1"/>
    <xf numFmtId="165" fontId="13" fillId="2" borderId="0" xfId="1" applyFont="1" applyFill="1" applyAlignment="1">
      <alignment horizontal="center" vertical="center"/>
    </xf>
    <xf numFmtId="165" fontId="3" fillId="0" borderId="0" xfId="1" applyFont="1"/>
    <xf numFmtId="167" fontId="15" fillId="15" borderId="0" xfId="0" applyNumberFormat="1" applyFont="1" applyFill="1"/>
    <xf numFmtId="167" fontId="15" fillId="5" borderId="0" xfId="0" applyNumberFormat="1" applyFont="1" applyFill="1"/>
    <xf numFmtId="167" fontId="15" fillId="7" borderId="0" xfId="0" applyNumberFormat="1" applyFont="1" applyFill="1"/>
    <xf numFmtId="0" fontId="2" fillId="3" borderId="0" xfId="0" applyFont="1" applyFill="1" applyAlignment="1">
      <alignment horizontal="center" vertical="center" wrapText="1"/>
    </xf>
    <xf numFmtId="0" fontId="27" fillId="8" borderId="0" xfId="0" applyFont="1" applyFill="1" applyAlignment="1">
      <alignment horizontal="left" indent="2"/>
    </xf>
    <xf numFmtId="167" fontId="27" fillId="8" borderId="0" xfId="0" applyNumberFormat="1" applyFont="1" applyFill="1"/>
    <xf numFmtId="0" fontId="15" fillId="15" borderId="0" xfId="0" applyFont="1" applyFill="1" applyAlignment="1">
      <alignment horizontal="left" indent="2"/>
    </xf>
    <xf numFmtId="0" fontId="15" fillId="5" borderId="0" xfId="0" applyFont="1" applyFill="1" applyAlignment="1">
      <alignment horizontal="left" indent="2"/>
    </xf>
    <xf numFmtId="0" fontId="0" fillId="7" borderId="0" xfId="0" applyFill="1"/>
    <xf numFmtId="0" fontId="15" fillId="7" borderId="0" xfId="0" applyFont="1" applyFill="1" applyAlignment="1">
      <alignment horizontal="left" indent="2"/>
    </xf>
    <xf numFmtId="0" fontId="22" fillId="8" borderId="0" xfId="0" applyFont="1" applyFill="1"/>
    <xf numFmtId="0" fontId="0" fillId="8" borderId="0" xfId="0" applyFill="1"/>
    <xf numFmtId="0" fontId="0" fillId="15" borderId="0" xfId="0" applyFill="1"/>
    <xf numFmtId="0" fontId="0" fillId="5" borderId="0" xfId="0" applyFill="1"/>
    <xf numFmtId="0" fontId="22" fillId="0" borderId="0" xfId="0" applyFont="1"/>
    <xf numFmtId="0" fontId="0" fillId="0" borderId="0" xfId="0" applyAlignment="1">
      <alignment vertical="center"/>
    </xf>
    <xf numFmtId="0" fontId="0" fillId="0" borderId="0" xfId="0" applyAlignment="1">
      <alignment horizontal="left" vertical="center"/>
    </xf>
    <xf numFmtId="17" fontId="0" fillId="0" borderId="0" xfId="0" applyNumberFormat="1"/>
    <xf numFmtId="0" fontId="2" fillId="2" borderId="46" xfId="0" applyFont="1" applyFill="1" applyBorder="1" applyAlignment="1">
      <alignment vertical="center" wrapText="1"/>
    </xf>
    <xf numFmtId="0" fontId="2" fillId="2" borderId="46" xfId="0" applyFont="1" applyFill="1" applyBorder="1" applyAlignment="1">
      <alignment horizontal="center" vertical="center" wrapText="1"/>
    </xf>
    <xf numFmtId="0" fontId="5" fillId="0" borderId="47" xfId="0" applyFont="1" applyBorder="1" applyAlignment="1">
      <alignment vertical="center" wrapText="1"/>
    </xf>
    <xf numFmtId="0" fontId="5" fillId="0" borderId="47" xfId="0" applyFont="1" applyBorder="1" applyAlignment="1">
      <alignment horizontal="center" vertical="center" wrapText="1"/>
    </xf>
    <xf numFmtId="0" fontId="7" fillId="0" borderId="47" xfId="0" applyFont="1" applyBorder="1" applyAlignment="1">
      <alignment horizontal="center" vertical="center" wrapText="1"/>
    </xf>
    <xf numFmtId="165" fontId="2" fillId="3" borderId="48" xfId="1" applyFont="1" applyFill="1" applyBorder="1" applyAlignment="1">
      <alignment horizontal="center" vertical="center" wrapText="1"/>
    </xf>
    <xf numFmtId="164" fontId="5" fillId="0" borderId="47" xfId="1" applyNumberFormat="1" applyFont="1" applyFill="1" applyBorder="1" applyAlignment="1">
      <alignment horizontal="center" vertical="center" wrapText="1"/>
    </xf>
    <xf numFmtId="165" fontId="0" fillId="7" borderId="0" xfId="1" applyFont="1" applyFill="1"/>
    <xf numFmtId="17" fontId="0" fillId="0" borderId="0" xfId="0" applyNumberFormat="1" applyAlignment="1">
      <alignment vertical="center"/>
    </xf>
    <xf numFmtId="165" fontId="0" fillId="7" borderId="0" xfId="1" applyFont="1" applyFill="1" applyAlignment="1">
      <alignment vertical="center"/>
    </xf>
    <xf numFmtId="165" fontId="0" fillId="0" borderId="0" xfId="1" applyFont="1" applyFill="1" applyAlignment="1">
      <alignment vertical="center"/>
    </xf>
    <xf numFmtId="0" fontId="0" fillId="5" borderId="0" xfId="0" applyFill="1" applyAlignment="1">
      <alignment vertical="center"/>
    </xf>
    <xf numFmtId="165" fontId="0" fillId="5" borderId="0" xfId="1" applyFont="1" applyFill="1" applyAlignment="1">
      <alignment vertical="center"/>
    </xf>
    <xf numFmtId="17" fontId="0" fillId="5" borderId="0" xfId="0" applyNumberFormat="1" applyFill="1"/>
    <xf numFmtId="0" fontId="0" fillId="5" borderId="49" xfId="0" applyFill="1" applyBorder="1" applyAlignment="1">
      <alignment vertical="center"/>
    </xf>
    <xf numFmtId="165" fontId="0" fillId="5" borderId="49" xfId="1" applyFont="1" applyFill="1" applyBorder="1"/>
    <xf numFmtId="17" fontId="0" fillId="5" borderId="49" xfId="0" applyNumberFormat="1" applyFill="1" applyBorder="1"/>
    <xf numFmtId="168" fontId="7" fillId="0" borderId="51" xfId="0" applyNumberFormat="1" applyFont="1" applyBorder="1" applyAlignment="1">
      <alignment horizontal="center" vertical="center" wrapText="1"/>
    </xf>
    <xf numFmtId="0" fontId="7" fillId="0" borderId="51" xfId="0" applyFont="1" applyBorder="1" applyAlignment="1">
      <alignment horizontal="center" vertical="center" wrapText="1"/>
    </xf>
    <xf numFmtId="0" fontId="23" fillId="0" borderId="51" xfId="0" applyFont="1" applyBorder="1" applyAlignment="1">
      <alignment vertical="center" wrapText="1"/>
    </xf>
    <xf numFmtId="0" fontId="5" fillId="0" borderId="51" xfId="0" applyFont="1" applyBorder="1" applyAlignment="1">
      <alignment vertical="center" wrapText="1"/>
    </xf>
    <xf numFmtId="0" fontId="5" fillId="0" borderId="51" xfId="0" applyFont="1" applyBorder="1" applyAlignment="1">
      <alignment horizontal="center" vertical="center" wrapText="1"/>
    </xf>
    <xf numFmtId="165" fontId="5" fillId="0" borderId="51" xfId="1" applyFont="1" applyFill="1" applyBorder="1" applyAlignment="1">
      <alignment horizontal="center" vertical="center" wrapText="1"/>
    </xf>
    <xf numFmtId="9" fontId="5" fillId="0" borderId="51" xfId="2" applyFont="1" applyFill="1" applyBorder="1" applyAlignment="1">
      <alignment horizontal="center" vertical="center" wrapText="1"/>
    </xf>
    <xf numFmtId="165" fontId="5" fillId="0" borderId="51" xfId="1" applyFont="1" applyFill="1" applyBorder="1" applyAlignment="1">
      <alignment vertical="center" wrapText="1"/>
    </xf>
    <xf numFmtId="164" fontId="4" fillId="0" borderId="51" xfId="1" applyNumberFormat="1" applyFont="1" applyFill="1" applyBorder="1" applyAlignment="1">
      <alignment horizontal="center" vertical="center" wrapText="1"/>
    </xf>
    <xf numFmtId="164" fontId="5" fillId="0" borderId="51" xfId="1" applyNumberFormat="1" applyFont="1" applyFill="1" applyBorder="1" applyAlignment="1">
      <alignment horizontal="center" vertical="center" wrapText="1"/>
    </xf>
    <xf numFmtId="9" fontId="10" fillId="8" borderId="51" xfId="2" applyFont="1" applyFill="1" applyBorder="1" applyAlignment="1">
      <alignment horizontal="center" vertical="center" wrapText="1"/>
    </xf>
    <xf numFmtId="9" fontId="23" fillId="9" borderId="51" xfId="2" applyFont="1" applyFill="1" applyBorder="1" applyAlignment="1">
      <alignment horizontal="center" vertical="center" wrapText="1"/>
    </xf>
    <xf numFmtId="165" fontId="5" fillId="4" borderId="51" xfId="1" applyFont="1" applyFill="1" applyBorder="1" applyAlignment="1">
      <alignment horizontal="center" vertical="center" wrapText="1"/>
    </xf>
    <xf numFmtId="165" fontId="4" fillId="4" borderId="51" xfId="1" applyFont="1" applyFill="1" applyBorder="1" applyAlignment="1">
      <alignment horizontal="center" vertical="center" wrapText="1"/>
    </xf>
    <xf numFmtId="164" fontId="24" fillId="0" borderId="51" xfId="1" applyNumberFormat="1" applyFont="1" applyFill="1" applyBorder="1" applyAlignment="1">
      <alignment horizontal="center" vertical="center" wrapText="1"/>
    </xf>
    <xf numFmtId="165" fontId="10" fillId="8" borderId="51" xfId="1" applyFont="1" applyFill="1" applyBorder="1" applyAlignment="1">
      <alignment horizontal="center" vertical="center" wrapText="1"/>
    </xf>
    <xf numFmtId="165" fontId="23" fillId="6" borderId="51" xfId="1" applyFont="1" applyFill="1" applyBorder="1" applyAlignment="1">
      <alignment horizontal="center" vertical="center" wrapText="1"/>
    </xf>
    <xf numFmtId="165" fontId="4" fillId="0" borderId="51" xfId="1" applyFont="1" applyFill="1" applyBorder="1" applyAlignment="1">
      <alignment horizontal="center" vertical="center" wrapText="1"/>
    </xf>
    <xf numFmtId="9" fontId="4" fillId="9" borderId="51" xfId="2" applyFont="1" applyFill="1" applyBorder="1" applyAlignment="1">
      <alignment horizontal="center" vertical="center" wrapText="1"/>
    </xf>
    <xf numFmtId="9" fontId="5" fillId="9" borderId="51" xfId="2" applyFont="1" applyFill="1" applyBorder="1" applyAlignment="1">
      <alignment horizontal="center" vertical="center" wrapText="1"/>
    </xf>
    <xf numFmtId="1" fontId="5" fillId="0" borderId="51" xfId="1" applyNumberFormat="1" applyFont="1" applyFill="1" applyBorder="1" applyAlignment="1">
      <alignment horizontal="center" vertical="center" wrapText="1"/>
    </xf>
    <xf numFmtId="165" fontId="7" fillId="0" borderId="51" xfId="1" applyFont="1" applyFill="1" applyBorder="1" applyAlignment="1">
      <alignment horizontal="center" vertical="center" wrapText="1"/>
    </xf>
    <xf numFmtId="0" fontId="7" fillId="0" borderId="51" xfId="0" applyFont="1" applyBorder="1" applyAlignment="1">
      <alignment vertical="center" wrapText="1"/>
    </xf>
    <xf numFmtId="165" fontId="23" fillId="9" borderId="51" xfId="1" applyFont="1" applyFill="1" applyBorder="1" applyAlignment="1">
      <alignment horizontal="center" vertical="center" wrapText="1"/>
    </xf>
    <xf numFmtId="165" fontId="5" fillId="14" borderId="51" xfId="1" applyFont="1" applyFill="1" applyBorder="1" applyAlignment="1">
      <alignment horizontal="center" vertical="center" wrapText="1"/>
    </xf>
    <xf numFmtId="165" fontId="4" fillId="14" borderId="51" xfId="1" applyFont="1" applyFill="1" applyBorder="1" applyAlignment="1">
      <alignment horizontal="center" vertical="center" wrapText="1"/>
    </xf>
    <xf numFmtId="0" fontId="7" fillId="13" borderId="51" xfId="0" applyFont="1" applyFill="1" applyBorder="1" applyAlignment="1">
      <alignment horizontal="center" vertical="center" wrapText="1"/>
    </xf>
    <xf numFmtId="167" fontId="0" fillId="0" borderId="0" xfId="0" applyNumberFormat="1"/>
    <xf numFmtId="165" fontId="5" fillId="0" borderId="52" xfId="1" applyFont="1" applyFill="1" applyBorder="1" applyAlignment="1">
      <alignment horizontal="center" vertical="center" wrapText="1"/>
    </xf>
    <xf numFmtId="0" fontId="3" fillId="0" borderId="53" xfId="0" applyFont="1" applyBorder="1"/>
    <xf numFmtId="168" fontId="7" fillId="0" borderId="54" xfId="0" applyNumberFormat="1" applyFont="1" applyBorder="1" applyAlignment="1">
      <alignment horizontal="center" vertical="center" wrapText="1"/>
    </xf>
    <xf numFmtId="0" fontId="7" fillId="0" borderId="54" xfId="0" applyFont="1" applyBorder="1" applyAlignment="1">
      <alignment horizontal="center" vertical="center" wrapText="1"/>
    </xf>
    <xf numFmtId="0" fontId="7" fillId="0" borderId="54" xfId="0" applyFont="1" applyBorder="1" applyAlignment="1">
      <alignment vertical="center" wrapText="1"/>
    </xf>
    <xf numFmtId="0" fontId="5" fillId="0" borderId="54" xfId="0" applyFont="1" applyBorder="1" applyAlignment="1">
      <alignment vertical="center" wrapText="1"/>
    </xf>
    <xf numFmtId="0" fontId="5" fillId="0" borderId="54" xfId="0" applyFont="1" applyBorder="1" applyAlignment="1">
      <alignment horizontal="center" vertical="center" wrapText="1"/>
    </xf>
    <xf numFmtId="165" fontId="5" fillId="0" borderId="54" xfId="1" applyFont="1" applyFill="1" applyBorder="1" applyAlignment="1">
      <alignment horizontal="center" vertical="center" wrapText="1"/>
    </xf>
    <xf numFmtId="1" fontId="5" fillId="0" borderId="54" xfId="1" applyNumberFormat="1" applyFont="1" applyFill="1" applyBorder="1" applyAlignment="1">
      <alignment horizontal="center" vertical="center" wrapText="1"/>
    </xf>
    <xf numFmtId="165" fontId="21" fillId="2" borderId="0" xfId="0" applyNumberFormat="1" applyFont="1" applyFill="1"/>
    <xf numFmtId="167" fontId="0" fillId="5" borderId="0" xfId="0" applyNumberFormat="1" applyFill="1"/>
    <xf numFmtId="165" fontId="0" fillId="5" borderId="0" xfId="0" applyNumberFormat="1" applyFill="1"/>
    <xf numFmtId="1" fontId="13" fillId="2" borderId="0" xfId="0" applyNumberFormat="1" applyFont="1" applyFill="1" applyAlignment="1">
      <alignment horizontal="center" vertical="center"/>
    </xf>
    <xf numFmtId="1" fontId="2" fillId="2" borderId="41" xfId="0" applyNumberFormat="1" applyFont="1" applyFill="1" applyBorder="1" applyAlignment="1">
      <alignment horizontal="center" vertical="center" wrapText="1"/>
    </xf>
    <xf numFmtId="1" fontId="5" fillId="0" borderId="52" xfId="1" applyNumberFormat="1" applyFont="1" applyFill="1" applyBorder="1" applyAlignment="1">
      <alignment horizontal="center" vertical="center" wrapText="1"/>
    </xf>
    <xf numFmtId="1" fontId="3" fillId="0" borderId="0" xfId="0" applyNumberFormat="1" applyFont="1"/>
    <xf numFmtId="169" fontId="13" fillId="2" borderId="0" xfId="0" applyNumberFormat="1" applyFont="1" applyFill="1" applyAlignment="1">
      <alignment horizontal="center" vertical="center"/>
    </xf>
    <xf numFmtId="169" fontId="2" fillId="2" borderId="41" xfId="0" applyNumberFormat="1" applyFont="1" applyFill="1" applyBorder="1" applyAlignment="1">
      <alignment horizontal="center" vertical="center" wrapText="1"/>
    </xf>
    <xf numFmtId="169" fontId="5" fillId="0" borderId="52" xfId="1" applyNumberFormat="1" applyFont="1" applyFill="1" applyBorder="1" applyAlignment="1">
      <alignment horizontal="center" vertical="center" wrapText="1"/>
    </xf>
    <xf numFmtId="169" fontId="5" fillId="0" borderId="51" xfId="1" applyNumberFormat="1" applyFont="1" applyFill="1" applyBorder="1" applyAlignment="1">
      <alignment horizontal="center" vertical="center" wrapText="1"/>
    </xf>
    <xf numFmtId="169" fontId="5" fillId="0" borderId="54" xfId="1" applyNumberFormat="1" applyFont="1" applyFill="1" applyBorder="1" applyAlignment="1">
      <alignment horizontal="center" vertical="center" wrapText="1"/>
    </xf>
    <xf numFmtId="169" fontId="3" fillId="0" borderId="0" xfId="0" applyNumberFormat="1" applyFont="1"/>
    <xf numFmtId="9" fontId="13" fillId="2" borderId="0" xfId="2" applyFont="1" applyFill="1" applyAlignment="1">
      <alignment horizontal="center" vertical="center"/>
    </xf>
    <xf numFmtId="9" fontId="2" fillId="2" borderId="41" xfId="2" applyFont="1" applyFill="1" applyBorder="1" applyAlignment="1">
      <alignment horizontal="center" vertical="center" wrapText="1"/>
    </xf>
    <xf numFmtId="9" fontId="5" fillId="0" borderId="52" xfId="2" applyFont="1" applyFill="1" applyBorder="1" applyAlignment="1">
      <alignment horizontal="center" vertical="center" wrapText="1"/>
    </xf>
    <xf numFmtId="9" fontId="5" fillId="0" borderId="54" xfId="2" applyFont="1" applyFill="1" applyBorder="1" applyAlignment="1">
      <alignment horizontal="center" vertical="center" wrapText="1"/>
    </xf>
    <xf numFmtId="9" fontId="3" fillId="0" borderId="0" xfId="2" applyFont="1"/>
    <xf numFmtId="0" fontId="5" fillId="0" borderId="52" xfId="1" applyNumberFormat="1" applyFont="1" applyFill="1" applyBorder="1" applyAlignment="1">
      <alignment horizontal="center" vertical="center" wrapText="1"/>
    </xf>
    <xf numFmtId="0" fontId="5" fillId="0" borderId="51" xfId="1" applyNumberFormat="1" applyFont="1" applyFill="1" applyBorder="1" applyAlignment="1">
      <alignment horizontal="center" vertical="center" wrapText="1"/>
    </xf>
    <xf numFmtId="0" fontId="5" fillId="0" borderId="54" xfId="1" applyNumberFormat="1" applyFont="1" applyFill="1" applyBorder="1" applyAlignment="1">
      <alignment horizontal="center" vertical="center" wrapText="1"/>
    </xf>
    <xf numFmtId="10" fontId="5" fillId="0" borderId="51" xfId="2" applyNumberFormat="1" applyFont="1" applyFill="1" applyBorder="1" applyAlignment="1">
      <alignment horizontal="center" vertical="center" wrapText="1"/>
    </xf>
    <xf numFmtId="170" fontId="5" fillId="0" borderId="51" xfId="2" applyNumberFormat="1" applyFont="1" applyFill="1" applyBorder="1" applyAlignment="1">
      <alignment horizontal="center" vertical="center" wrapText="1"/>
    </xf>
    <xf numFmtId="14" fontId="2" fillId="2" borderId="41" xfId="0" applyNumberFormat="1" applyFont="1" applyFill="1" applyBorder="1" applyAlignment="1">
      <alignment horizontal="center" vertical="center" wrapText="1"/>
    </xf>
    <xf numFmtId="9" fontId="0" fillId="0" borderId="0" xfId="0" applyNumberFormat="1"/>
    <xf numFmtId="165" fontId="0" fillId="0" borderId="0" xfId="1" applyFont="1"/>
    <xf numFmtId="9" fontId="0" fillId="0" borderId="0" xfId="2" applyFont="1"/>
    <xf numFmtId="165" fontId="29" fillId="0" borderId="51" xfId="1" applyFont="1" applyFill="1" applyBorder="1" applyAlignment="1">
      <alignment horizontal="center" vertical="center" wrapText="1"/>
    </xf>
    <xf numFmtId="0" fontId="26" fillId="0" borderId="0" xfId="0" applyFont="1"/>
    <xf numFmtId="0" fontId="26" fillId="0" borderId="0" xfId="0" applyFont="1" applyAlignment="1">
      <alignment horizontal="center" vertical="center"/>
    </xf>
    <xf numFmtId="13" fontId="5" fillId="0" borderId="51" xfId="1" applyNumberFormat="1" applyFont="1" applyFill="1" applyBorder="1" applyAlignment="1">
      <alignment horizontal="center" vertical="center" wrapText="1"/>
    </xf>
    <xf numFmtId="9" fontId="5" fillId="4" borderId="51" xfId="2" applyFont="1" applyFill="1" applyBorder="1" applyAlignment="1">
      <alignment horizontal="center" vertical="center" wrapText="1"/>
    </xf>
    <xf numFmtId="10" fontId="5" fillId="0" borderId="51" xfId="1" applyNumberFormat="1" applyFont="1" applyFill="1" applyBorder="1" applyAlignment="1">
      <alignment horizontal="center" vertical="center" wrapText="1"/>
    </xf>
    <xf numFmtId="9" fontId="5" fillId="0" borderId="51" xfId="1" applyNumberFormat="1" applyFont="1" applyFill="1" applyBorder="1" applyAlignment="1">
      <alignment horizontal="center" vertical="center" wrapText="1"/>
    </xf>
    <xf numFmtId="14" fontId="5" fillId="0" borderId="51" xfId="1" applyNumberFormat="1" applyFont="1" applyFill="1" applyBorder="1" applyAlignment="1">
      <alignment horizontal="center" vertical="center" wrapText="1"/>
    </xf>
    <xf numFmtId="0" fontId="5" fillId="5" borderId="51" xfId="0" applyFont="1" applyFill="1" applyBorder="1" applyAlignment="1">
      <alignment vertical="center" wrapText="1"/>
    </xf>
    <xf numFmtId="165" fontId="5" fillId="5" borderId="51" xfId="1" applyFont="1" applyFill="1" applyBorder="1" applyAlignment="1">
      <alignment horizontal="center" vertical="center" wrapText="1"/>
    </xf>
    <xf numFmtId="9" fontId="5" fillId="5" borderId="51" xfId="2" applyFont="1" applyFill="1" applyBorder="1" applyAlignment="1">
      <alignment horizontal="center" vertical="center" wrapText="1"/>
    </xf>
    <xf numFmtId="169" fontId="5" fillId="5" borderId="51" xfId="1" applyNumberFormat="1" applyFont="1" applyFill="1" applyBorder="1" applyAlignment="1">
      <alignment horizontal="center" vertical="center" wrapText="1"/>
    </xf>
    <xf numFmtId="14" fontId="5" fillId="5" borderId="51" xfId="1" applyNumberFormat="1" applyFont="1" applyFill="1" applyBorder="1" applyAlignment="1">
      <alignment horizontal="center" vertical="center" wrapText="1"/>
    </xf>
    <xf numFmtId="168" fontId="7" fillId="13" borderId="51" xfId="0" applyNumberFormat="1" applyFont="1" applyFill="1" applyBorder="1" applyAlignment="1">
      <alignment horizontal="center" vertical="center" wrapText="1"/>
    </xf>
    <xf numFmtId="0" fontId="5" fillId="13" borderId="51" xfId="0" applyFont="1" applyFill="1" applyBorder="1" applyAlignment="1">
      <alignment horizontal="center" vertical="center" wrapText="1"/>
    </xf>
    <xf numFmtId="165" fontId="5" fillId="13" borderId="51" xfId="1" applyFont="1" applyFill="1" applyBorder="1" applyAlignment="1">
      <alignment horizontal="center" vertical="center" wrapText="1"/>
    </xf>
    <xf numFmtId="9" fontId="5" fillId="13" borderId="51" xfId="2" applyFont="1" applyFill="1" applyBorder="1" applyAlignment="1">
      <alignment horizontal="center" vertical="center" wrapText="1"/>
    </xf>
    <xf numFmtId="1" fontId="5" fillId="13" borderId="51" xfId="1" applyNumberFormat="1" applyFont="1" applyFill="1" applyBorder="1" applyAlignment="1">
      <alignment horizontal="center" vertical="center" wrapText="1"/>
    </xf>
    <xf numFmtId="1" fontId="5" fillId="13" borderId="52" xfId="1" applyNumberFormat="1" applyFont="1" applyFill="1" applyBorder="1" applyAlignment="1">
      <alignment horizontal="center" vertical="center" wrapText="1"/>
    </xf>
    <xf numFmtId="0" fontId="5" fillId="13" borderId="51" xfId="1" applyNumberFormat="1" applyFont="1" applyFill="1" applyBorder="1" applyAlignment="1">
      <alignment horizontal="center" vertical="center" wrapText="1"/>
    </xf>
    <xf numFmtId="165" fontId="5" fillId="13" borderId="52" xfId="1" applyFont="1" applyFill="1" applyBorder="1" applyAlignment="1">
      <alignment horizontal="center" vertical="center" wrapText="1"/>
    </xf>
    <xf numFmtId="0" fontId="3" fillId="13" borderId="0" xfId="0" applyFont="1" applyFill="1"/>
    <xf numFmtId="14" fontId="13" fillId="2" borderId="0" xfId="0" applyNumberFormat="1" applyFont="1" applyFill="1" applyAlignment="1">
      <alignment horizontal="center" vertical="center"/>
    </xf>
    <xf numFmtId="14" fontId="5" fillId="13" borderId="51" xfId="1" applyNumberFormat="1" applyFont="1" applyFill="1" applyBorder="1" applyAlignment="1">
      <alignment horizontal="center" vertical="center" wrapText="1"/>
    </xf>
    <xf numFmtId="14" fontId="5" fillId="0" borderId="54" xfId="1" applyNumberFormat="1" applyFont="1" applyFill="1" applyBorder="1" applyAlignment="1">
      <alignment horizontal="center" vertical="center" wrapText="1"/>
    </xf>
    <xf numFmtId="14" fontId="3" fillId="0" borderId="0" xfId="0" applyNumberFormat="1" applyFont="1"/>
    <xf numFmtId="14" fontId="5" fillId="0" borderId="52" xfId="1" applyNumberFormat="1" applyFont="1" applyFill="1" applyBorder="1" applyAlignment="1">
      <alignment horizontal="center" vertical="center" wrapText="1"/>
    </xf>
    <xf numFmtId="14" fontId="5" fillId="13" borderId="52" xfId="1" applyNumberFormat="1" applyFont="1" applyFill="1" applyBorder="1" applyAlignment="1">
      <alignment horizontal="center" vertical="center" wrapText="1"/>
    </xf>
    <xf numFmtId="0" fontId="31" fillId="0" borderId="0" xfId="0" applyFont="1"/>
    <xf numFmtId="165" fontId="2" fillId="15" borderId="41" xfId="1" applyFont="1" applyFill="1" applyBorder="1" applyAlignment="1">
      <alignment horizontal="center" vertical="center" wrapText="1"/>
    </xf>
    <xf numFmtId="0" fontId="34" fillId="16" borderId="55" xfId="0" applyFont="1" applyFill="1" applyBorder="1"/>
    <xf numFmtId="0" fontId="34" fillId="17" borderId="55" xfId="0" applyFont="1" applyFill="1" applyBorder="1"/>
    <xf numFmtId="0" fontId="34" fillId="5" borderId="55" xfId="0" applyFont="1" applyFill="1" applyBorder="1"/>
    <xf numFmtId="0" fontId="34" fillId="17" borderId="55" xfId="0" applyFont="1" applyFill="1" applyBorder="1" applyAlignment="1">
      <alignment horizontal="left"/>
    </xf>
    <xf numFmtId="0" fontId="34" fillId="17" borderId="56" xfId="0" applyFont="1" applyFill="1" applyBorder="1" applyAlignment="1">
      <alignment horizontal="left"/>
    </xf>
    <xf numFmtId="0" fontId="34" fillId="5" borderId="56" xfId="0" applyFont="1" applyFill="1" applyBorder="1"/>
    <xf numFmtId="171" fontId="5" fillId="0" borderId="51" xfId="1" applyNumberFormat="1" applyFont="1" applyFill="1" applyBorder="1" applyAlignment="1">
      <alignment horizontal="center" vertical="center" wrapText="1"/>
    </xf>
    <xf numFmtId="0" fontId="35" fillId="18" borderId="57" xfId="0" applyFont="1" applyFill="1" applyBorder="1" applyAlignment="1" applyProtection="1">
      <alignment horizontal="center"/>
      <protection locked="0"/>
    </xf>
    <xf numFmtId="14" fontId="35" fillId="18" borderId="57" xfId="0" applyNumberFormat="1" applyFont="1" applyFill="1" applyBorder="1" applyAlignment="1" applyProtection="1">
      <alignment horizontal="center"/>
      <protection locked="0"/>
    </xf>
    <xf numFmtId="0" fontId="13" fillId="2" borderId="0" xfId="0" applyFont="1" applyFill="1" applyAlignment="1">
      <alignment horizontal="left" vertical="center"/>
    </xf>
    <xf numFmtId="0" fontId="2" fillId="2" borderId="41" xfId="0" applyFont="1" applyFill="1" applyBorder="1" applyAlignment="1">
      <alignment horizontal="left" vertical="center" wrapText="1"/>
    </xf>
    <xf numFmtId="0" fontId="23" fillId="0" borderId="51" xfId="0" applyFont="1" applyBorder="1" applyAlignment="1">
      <alignment horizontal="left" vertical="center" wrapText="1"/>
    </xf>
    <xf numFmtId="0" fontId="7" fillId="0" borderId="51" xfId="0" applyFont="1" applyBorder="1" applyAlignment="1">
      <alignment horizontal="left" vertical="center" wrapText="1"/>
    </xf>
    <xf numFmtId="0" fontId="23" fillId="13" borderId="51" xfId="0" applyFont="1" applyFill="1" applyBorder="1" applyAlignment="1">
      <alignment horizontal="left" vertical="center" wrapText="1"/>
    </xf>
    <xf numFmtId="0" fontId="7" fillId="0" borderId="54" xfId="0" applyFont="1" applyBorder="1" applyAlignment="1">
      <alignment horizontal="left" vertical="center" wrapText="1"/>
    </xf>
    <xf numFmtId="0" fontId="3" fillId="0" borderId="0" xfId="0" applyFont="1" applyAlignment="1">
      <alignment horizontal="left"/>
    </xf>
    <xf numFmtId="1" fontId="5" fillId="0" borderId="54" xfId="0" applyNumberFormat="1" applyFont="1" applyBorder="1" applyAlignment="1">
      <alignment horizontal="center" vertical="center" wrapText="1"/>
    </xf>
    <xf numFmtId="14" fontId="5" fillId="0" borderId="54" xfId="0" applyNumberFormat="1" applyFont="1" applyBorder="1" applyAlignment="1">
      <alignment horizontal="center" vertical="center" wrapText="1"/>
    </xf>
    <xf numFmtId="169" fontId="5" fillId="0" borderId="54" xfId="0" applyNumberFormat="1" applyFont="1" applyBorder="1" applyAlignment="1">
      <alignment horizontal="center" vertical="center" wrapText="1"/>
    </xf>
    <xf numFmtId="165" fontId="5" fillId="0" borderId="54" xfId="0" applyNumberFormat="1" applyFont="1" applyBorder="1" applyAlignment="1">
      <alignment horizontal="center" vertical="center" wrapText="1"/>
    </xf>
    <xf numFmtId="9" fontId="5" fillId="0" borderId="54" xfId="0" applyNumberFormat="1" applyFont="1" applyBorder="1" applyAlignment="1">
      <alignment horizontal="center" vertical="center" wrapText="1"/>
    </xf>
    <xf numFmtId="165" fontId="19" fillId="3" borderId="32" xfId="1" applyFont="1" applyFill="1" applyBorder="1" applyAlignment="1">
      <alignment horizontal="center" vertical="center"/>
    </xf>
    <xf numFmtId="165" fontId="19" fillId="3" borderId="33" xfId="1" applyFont="1" applyFill="1" applyBorder="1" applyAlignment="1">
      <alignment horizontal="center" vertical="center"/>
    </xf>
    <xf numFmtId="165" fontId="19" fillId="3" borderId="34" xfId="1" applyFont="1" applyFill="1" applyBorder="1" applyAlignment="1">
      <alignment horizontal="center" vertical="center"/>
    </xf>
    <xf numFmtId="0" fontId="0" fillId="15" borderId="0" xfId="0" applyFill="1" applyAlignment="1">
      <alignment horizontal="center"/>
    </xf>
    <xf numFmtId="0" fontId="28" fillId="2" borderId="50" xfId="0" applyFont="1" applyFill="1" applyBorder="1" applyAlignment="1">
      <alignment horizontal="center"/>
    </xf>
    <xf numFmtId="0" fontId="0" fillId="0" borderId="4" xfId="0" applyBorder="1" applyAlignment="1">
      <alignment horizontal="center" vertical="center"/>
    </xf>
    <xf numFmtId="0" fontId="0" fillId="0" borderId="6" xfId="0" applyBorder="1" applyAlignment="1">
      <alignment horizontal="center" vertical="center"/>
    </xf>
    <xf numFmtId="0" fontId="0" fillId="0" borderId="9" xfId="0" applyBorder="1" applyAlignment="1">
      <alignment horizontal="center" vertical="center"/>
    </xf>
    <xf numFmtId="0" fontId="20" fillId="9" borderId="32" xfId="0" applyFont="1" applyFill="1" applyBorder="1" applyAlignment="1">
      <alignment horizontal="center"/>
    </xf>
    <xf numFmtId="0" fontId="20" fillId="9" borderId="33" xfId="0" applyFont="1" applyFill="1" applyBorder="1" applyAlignment="1">
      <alignment horizontal="center"/>
    </xf>
    <xf numFmtId="0" fontId="20" fillId="9" borderId="34" xfId="0" applyFont="1" applyFill="1" applyBorder="1" applyAlignment="1">
      <alignment horizontal="center"/>
    </xf>
    <xf numFmtId="0" fontId="22" fillId="0" borderId="20" xfId="0" applyFont="1" applyBorder="1" applyAlignment="1">
      <alignment horizontal="center" vertical="center"/>
    </xf>
    <xf numFmtId="0" fontId="22" fillId="0" borderId="21" xfId="0" applyFont="1" applyBorder="1" applyAlignment="1">
      <alignment horizontal="center" vertical="center"/>
    </xf>
    <xf numFmtId="0" fontId="22" fillId="0" borderId="22" xfId="0" applyFont="1" applyBorder="1" applyAlignment="1">
      <alignment horizontal="center" vertical="center"/>
    </xf>
  </cellXfs>
  <cellStyles count="6">
    <cellStyle name="Currency 2" xfId="3" xr:uid="{CAC5589E-D9B6-4D2E-BE32-2B6A8CA0EA16}"/>
    <cellStyle name="Moneda" xfId="1" builtinId="4"/>
    <cellStyle name="Normal" xfId="0" builtinId="0"/>
    <cellStyle name="Normal 2" xfId="4" xr:uid="{F0CC1086-A19C-40AA-840E-51E652487AF6}"/>
    <cellStyle name="Normal 3" xfId="5" xr:uid="{BFC25F58-4019-4D21-9A69-49B1E8FB3591}"/>
    <cellStyle name="Porcentaje" xfId="2" builtinId="5"/>
  </cellStyles>
  <dxfs count="324">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0"/>
        <color theme="1"/>
        <name val="Calibri Light"/>
        <family val="2"/>
        <scheme val="major"/>
      </font>
      <numFmt numFmtId="169" formatCode="[$-409]d\-mmm\-yy;@"/>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theme="1"/>
        <name val="Calibri Light"/>
        <family val="2"/>
        <scheme val="major"/>
      </font>
      <numFmt numFmtId="169" formatCode="[$-409]d\-mmm\-yy;@"/>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theme="1"/>
        <name val="Calibri Light"/>
        <family val="2"/>
        <scheme val="maj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theme="1"/>
        <name val="Calibri Light"/>
        <family val="2"/>
        <scheme val="maj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theme="1"/>
        <name val="Calibri Light"/>
        <family val="2"/>
        <scheme val="maj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auto="1"/>
        <name val="Calibri Light"/>
        <family val="2"/>
        <scheme val="maj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auto="1"/>
        <name val="Calibri Light"/>
        <family val="2"/>
        <scheme val="maj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auto="1"/>
        <name val="Calibri Light"/>
        <family val="2"/>
        <scheme val="maj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auto="1"/>
        <name val="Calibri Light"/>
        <family val="2"/>
        <scheme val="maj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auto="1"/>
        <name val="Calibri Light"/>
        <family val="2"/>
        <scheme val="major"/>
      </font>
      <numFmt numFmtId="168" formatCode="[$-409]mmm\-yy;@"/>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border outline="0">
        <top style="medium">
          <color rgb="FFFFFFFF"/>
        </top>
        <bottom style="medium">
          <color rgb="FF000000"/>
        </bottom>
      </border>
    </dxf>
    <dxf>
      <font>
        <b/>
        <i val="0"/>
        <strike val="0"/>
        <condense val="0"/>
        <extend val="0"/>
        <outline val="0"/>
        <shadow val="0"/>
        <u val="none"/>
        <vertAlign val="baseline"/>
        <sz val="10"/>
        <color rgb="FFFFFFFF"/>
        <name val="Calibri Light"/>
        <family val="2"/>
        <scheme val="major"/>
      </font>
      <fill>
        <patternFill patternType="solid">
          <fgColor indexed="64"/>
          <bgColor rgb="FF002060"/>
        </patternFill>
      </fill>
      <alignment horizontal="center" vertical="center" textRotation="0" wrapText="1" indent="0" justifyLastLine="0" shrinkToFit="0" readingOrder="0"/>
    </dxf>
    <dxf>
      <font>
        <color rgb="FFC00000"/>
      </font>
      <fill>
        <patternFill>
          <bgColor rgb="FFFFCCCC"/>
        </patternFill>
      </fill>
    </dxf>
    <dxf>
      <fill>
        <patternFill>
          <bgColor rgb="FFFFFFCC"/>
        </patternFill>
      </fill>
    </dxf>
    <dxf>
      <font>
        <color rgb="FF009999"/>
      </font>
      <fill>
        <patternFill>
          <bgColor theme="6" tint="0.79998168889431442"/>
        </patternFill>
      </fill>
    </dxf>
    <dxf>
      <font>
        <color theme="9" tint="-0.24994659260841701"/>
      </font>
      <fill>
        <patternFill>
          <bgColor theme="9" tint="0.79998168889431442"/>
        </patternFill>
      </fill>
    </dxf>
    <dxf>
      <font>
        <color theme="7" tint="-0.499984740745262"/>
      </font>
      <fill>
        <patternFill>
          <bgColor theme="7" tint="0.79998168889431442"/>
        </patternFill>
      </fill>
    </dxf>
    <dxf>
      <fill>
        <patternFill>
          <bgColor rgb="FFFFFFCC"/>
        </patternFill>
      </fill>
    </dxf>
    <dxf>
      <fill>
        <patternFill>
          <bgColor theme="6" tint="0.79998168889431442"/>
        </patternFill>
      </fill>
    </dxf>
    <dxf>
      <font>
        <b/>
        <i val="0"/>
      </font>
      <fill>
        <patternFill>
          <bgColor rgb="FF00FF00"/>
        </patternFill>
      </fill>
    </dxf>
    <dxf>
      <font>
        <b/>
        <i val="0"/>
        <color theme="0"/>
      </font>
      <fill>
        <patternFill>
          <bgColor rgb="FFFF0000"/>
        </patternFill>
      </fill>
    </dxf>
    <dxf>
      <font>
        <color theme="9" tint="-0.24994659260841701"/>
      </font>
      <fill>
        <patternFill>
          <bgColor theme="9" tint="0.79998168889431442"/>
        </patternFill>
      </fill>
    </dxf>
    <dxf>
      <font>
        <color theme="7" tint="-0.499984740745262"/>
      </font>
      <fill>
        <patternFill>
          <bgColor theme="7" tint="0.79998168889431442"/>
        </patternFill>
      </fill>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theme="1"/>
        <name val="Calibri Light"/>
        <family val="2"/>
        <scheme val="major"/>
      </font>
      <numFmt numFmtId="19" formatCode="dd/mm/yyyy"/>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numFmt numFmtId="19" formatCode="dd/mm/yyyy"/>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theme="1"/>
        <name val="Calibri Light"/>
        <family val="2"/>
        <scheme val="major"/>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0"/>
        <color theme="1"/>
        <name val="Calibri Light"/>
        <family val="2"/>
        <scheme val="maj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theme="1"/>
        <name val="Calibri Light"/>
        <family val="2"/>
        <scheme val="major"/>
      </font>
      <numFmt numFmtId="169" formatCode="[$-409]d\-mmm\-yy;@"/>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theme="1"/>
        <name val="Calibri Light"/>
        <family val="2"/>
        <scheme val="major"/>
      </font>
      <numFmt numFmtId="169" formatCode="[$-409]d\-mmm\-yy;@"/>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theme="1"/>
        <name val="Calibri Light"/>
        <family val="2"/>
        <scheme val="major"/>
      </font>
      <numFmt numFmtId="19" formatCode="dd/mm/yyyy"/>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0"/>
        <color theme="1"/>
        <name val="Calibri Light"/>
        <family val="2"/>
        <scheme val="major"/>
      </font>
      <numFmt numFmtId="19" formatCode="dd/mm/yyyy"/>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numFmt numFmtId="165" formatCode="_(&quot;$&quot;* #,##0.00_);_(&quot;$&quot;* \(#,##0.00\);_(&quot;$&quot;* &quot;-&quot;??_);_(@_)"/>
      <fill>
        <patternFill patternType="none">
          <fgColor indexed="64"/>
          <bgColor indexed="65"/>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theme="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0"/>
        <color theme="1"/>
        <name val="Calibri Light"/>
        <family val="2"/>
        <scheme val="major"/>
      </font>
      <numFmt numFmtId="1" formatCode="0"/>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numFmt numFmtId="13" formatCode="0%"/>
      <fill>
        <patternFill patternType="none">
          <fgColor indexed="64"/>
          <bgColor indexed="65"/>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numFmt numFmtId="165" formatCode="_(&quot;$&quot;* #,##0.00_);_(&quot;$&quot;* \(#,##0.00\);_(&quot;$&quot;* &quot;-&quot;??_);_(@_)"/>
      <fill>
        <patternFill patternType="none">
          <fgColor indexed="64"/>
          <bgColor indexed="65"/>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theme="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theme="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numFmt numFmtId="165" formatCode="_(&quot;$&quot;* #,##0.00_);_(&quot;$&quot;* \(#,##0.00\);_(&quot;$&quot;* &quot;-&quot;??_);_(@_)"/>
      <fill>
        <patternFill patternType="none">
          <fgColor indexed="64"/>
          <bgColor indexed="65"/>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numFmt numFmtId="165" formatCode="_(&quot;$&quot;* #,##0.00_);_(&quot;$&quot;* \(#,##0.00\);_(&quot;$&quot;* &quot;-&quot;??_);_(@_)"/>
      <fill>
        <patternFill patternType="none">
          <fgColor indexed="64"/>
          <bgColor indexed="65"/>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numFmt numFmtId="165" formatCode="_(&quot;$&quot;* #,##0.00_);_(&quot;$&quot;* \(#,##0.00\);_(&quot;$&quot;* &quot;-&quot;??_);_(@_)"/>
      <fill>
        <patternFill patternType="none">
          <fgColor indexed="64"/>
          <bgColor indexed="65"/>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numFmt numFmtId="165" formatCode="_(&quot;$&quot;* #,##0.00_);_(&quot;$&quot;* \(#,##0.00\);_(&quot;$&quot;* &quot;-&quot;??_);_(@_)"/>
      <fill>
        <patternFill patternType="none">
          <fgColor indexed="64"/>
          <bgColor indexed="65"/>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numFmt numFmtId="165" formatCode="_(&quot;$&quot;* #,##0.00_);_(&quot;$&quot;* \(#,##0.00\);_(&quot;$&quot;* &quot;-&quot;??_);_(@_)"/>
      <fill>
        <patternFill patternType="none">
          <fgColor indexed="64"/>
          <bgColor indexed="65"/>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numFmt numFmtId="165" formatCode="_(&quot;$&quot;* #,##0.00_);_(&quot;$&quot;* \(#,##0.00\);_(&quot;$&quot;* &quot;-&quot;??_);_(@_)"/>
      <fill>
        <patternFill patternType="none">
          <fgColor indexed="64"/>
          <bgColor indexed="65"/>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theme="1"/>
        <name val="Calibri Light"/>
        <family val="2"/>
        <scheme val="major"/>
      </font>
      <numFmt numFmtId="169" formatCode="[$-409]d\-mmm\-yy;@"/>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numFmt numFmtId="169" formatCode="[$-409]d\-mmm\-yy;@"/>
      <fill>
        <patternFill patternType="none">
          <fgColor indexed="64"/>
          <bgColor indexed="65"/>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numFmt numFmtId="165" formatCode="_(&quot;$&quot;* #,##0.00_);_(&quot;$&quot;* \(#,##0.00\);_(&quot;$&quot;* &quot;-&quot;??_);_(@_)"/>
      <fill>
        <patternFill patternType="none">
          <fgColor indexed="64"/>
          <bgColor indexed="65"/>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theme="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numFmt numFmtId="165" formatCode="_(&quot;$&quot;* #,##0.00_);_(&quot;$&quot;* \(#,##0.00\);_(&quot;$&quot;* &quot;-&quot;??_);_(@_)"/>
      <fill>
        <patternFill patternType="none">
          <fgColor indexed="64"/>
          <bgColor indexed="65"/>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numFmt numFmtId="165" formatCode="_(&quot;$&quot;* #,##0.00_);_(&quot;$&quot;* \(#,##0.00\);_(&quot;$&quot;* &quot;-&quot;??_);_(@_)"/>
      <fill>
        <patternFill patternType="none">
          <fgColor indexed="64"/>
          <bgColor indexed="65"/>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numFmt numFmtId="165" formatCode="_(&quot;$&quot;* #,##0.00_);_(&quot;$&quot;* \(#,##0.00\);_(&quot;$&quot;* &quot;-&quot;??_);_(@_)"/>
      <fill>
        <patternFill patternType="none">
          <fgColor indexed="64"/>
          <bgColor indexed="65"/>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numFmt numFmtId="165" formatCode="_(&quot;$&quot;* #,##0.00_);_(&quot;$&quot;* \(#,##0.00\);_(&quot;$&quot;* &quot;-&quot;??_);_(@_)"/>
      <fill>
        <patternFill patternType="none">
          <fgColor indexed="64"/>
          <bgColor indexed="65"/>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numFmt numFmtId="165" formatCode="_(&quot;$&quot;* #,##0.00_);_(&quot;$&quot;* \(#,##0.00\);_(&quot;$&quot;* &quot;-&quot;??_);_(@_)"/>
      <fill>
        <patternFill patternType="none">
          <fgColor indexed="64"/>
          <bgColor indexed="65"/>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numFmt numFmtId="165" formatCode="_(&quot;$&quot;* #,##0.00_);_(&quot;$&quot;* \(#,##0.00\);_(&quot;$&quot;* &quot;-&quot;??_);_(@_)"/>
      <fill>
        <patternFill patternType="none">
          <fgColor indexed="64"/>
          <bgColor indexed="65"/>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numFmt numFmtId="165" formatCode="_(&quot;$&quot;* #,##0.00_);_(&quot;$&quot;* \(#,##0.00\);_(&quot;$&quot;* &quot;-&quot;??_);_(@_)"/>
      <fill>
        <patternFill patternType="none">
          <fgColor indexed="64"/>
          <bgColor indexed="65"/>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numFmt numFmtId="165" formatCode="_(&quot;$&quot;* #,##0.00_);_(&quot;$&quot;* \(#,##0.00\);_(&quot;$&quot;* &quot;-&quot;??_);_(@_)"/>
      <fill>
        <patternFill patternType="none">
          <fgColor indexed="64"/>
          <bgColor indexed="65"/>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numFmt numFmtId="165" formatCode="_(&quot;$&quot;* #,##0.00_);_(&quot;$&quot;* \(#,##0.00\);_(&quot;$&quot;* &quot;-&quot;??_);_(@_)"/>
      <fill>
        <patternFill patternType="none">
          <fgColor indexed="64"/>
          <bgColor indexed="65"/>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theme="1"/>
        <name val="Calibri Light"/>
        <family val="2"/>
        <scheme val="maj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theme="1"/>
        <name val="Calibri Light"/>
        <family val="2"/>
        <scheme val="maj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theme="1"/>
        <name val="Calibri Light"/>
        <family val="2"/>
        <scheme val="maj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theme="1"/>
        <name val="Calibri Light"/>
        <family val="2"/>
        <scheme val="maj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theme="1"/>
        <name val="Calibri Light"/>
        <family val="2"/>
        <scheme val="maj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theme="1"/>
        <name val="Calibri Light"/>
        <family val="2"/>
        <scheme val="maj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theme="1"/>
        <name val="Calibri Light"/>
        <family val="2"/>
        <scheme val="maj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theme="1"/>
        <name val="Calibri Light"/>
        <family val="2"/>
        <scheme val="major"/>
      </font>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Calibri Light"/>
        <family val="2"/>
        <scheme val="major"/>
      </font>
      <alignment horizontal="general"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auto="1"/>
        <name val="Calibri Light"/>
        <family val="2"/>
        <scheme val="maj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auto="1"/>
        <name val="Calibri Light"/>
        <family val="2"/>
        <scheme val="maj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auto="1"/>
        <name val="Calibri Light"/>
        <family val="2"/>
        <scheme val="maj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auto="1"/>
        <name val="Calibri Light"/>
        <family val="2"/>
        <scheme val="maj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auto="1"/>
        <name val="Calibri Light"/>
        <family val="2"/>
        <scheme val="maj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auto="1"/>
        <name val="Calibri Light"/>
        <family val="2"/>
        <scheme val="maj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auto="1"/>
        <name val="Calibri Light"/>
        <family val="2"/>
        <scheme val="major"/>
      </font>
      <alignment horizontal="left"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auto="1"/>
        <name val="Calibri Light"/>
        <family val="2"/>
        <scheme val="major"/>
      </font>
      <alignment horizontal="left"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auto="1"/>
        <name val="Calibri Light"/>
        <family val="2"/>
        <scheme val="maj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auto="1"/>
        <name val="Calibri Light"/>
        <family val="2"/>
        <scheme val="maj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auto="1"/>
        <name val="Calibri Light"/>
        <family val="2"/>
        <scheme val="major"/>
      </font>
      <numFmt numFmtId="168" formatCode="[$-409]mmm\-yy;@"/>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auto="1"/>
        <name val="Calibri Light"/>
        <family val="2"/>
        <scheme val="major"/>
      </font>
      <numFmt numFmtId="168" formatCode="[$-409]mmm\-yy;@"/>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border outline="0">
        <top style="medium">
          <color theme="0"/>
        </top>
        <bottom style="medium">
          <color indexed="64"/>
        </bottom>
      </border>
    </dxf>
    <dxf>
      <font>
        <b/>
        <i val="0"/>
        <strike val="0"/>
        <condense val="0"/>
        <extend val="0"/>
        <outline val="0"/>
        <shadow val="0"/>
        <u val="none"/>
        <vertAlign val="baseline"/>
        <sz val="10"/>
        <color rgb="FFFFFFFF"/>
        <name val="Calibri Light"/>
        <family val="2"/>
        <scheme val="major"/>
      </font>
      <fill>
        <patternFill patternType="solid">
          <fgColor indexed="64"/>
          <bgColor rgb="FF002060"/>
        </patternFill>
      </fill>
      <alignment horizontal="center" vertical="center" textRotation="0" wrapText="1" indent="0" justifyLastLine="0" shrinkToFit="0" readingOrder="0"/>
    </dxf>
    <dxf>
      <font>
        <color rgb="FFC00000"/>
      </font>
      <fill>
        <patternFill>
          <bgColor rgb="FFFFCCCC"/>
        </patternFill>
      </fill>
    </dxf>
    <dxf>
      <font>
        <color rgb="FFC00000"/>
      </font>
      <fill>
        <patternFill>
          <bgColor rgb="FFFFCCCC"/>
        </patternFill>
      </fill>
    </dxf>
    <dxf>
      <fill>
        <patternFill>
          <bgColor rgb="FFFFFFCC"/>
        </patternFill>
      </fill>
    </dxf>
    <dxf>
      <font>
        <color rgb="FF009999"/>
      </font>
      <fill>
        <patternFill>
          <bgColor theme="6" tint="0.79998168889431442"/>
        </patternFill>
      </fill>
    </dxf>
    <dxf>
      <font>
        <color theme="9" tint="-0.24994659260841701"/>
      </font>
      <fill>
        <patternFill>
          <bgColor theme="9" tint="0.79998168889431442"/>
        </patternFill>
      </fill>
    </dxf>
    <dxf>
      <font>
        <color theme="7" tint="-0.499984740745262"/>
      </font>
      <fill>
        <patternFill>
          <bgColor theme="7" tint="0.79998168889431442"/>
        </patternFill>
      </fill>
    </dxf>
    <dxf>
      <fill>
        <patternFill>
          <bgColor rgb="FFFFFFCC"/>
        </patternFill>
      </fill>
    </dxf>
    <dxf>
      <fill>
        <patternFill>
          <bgColor theme="6" tint="0.79998168889431442"/>
        </patternFill>
      </fill>
    </dxf>
    <dxf>
      <font>
        <b/>
        <i val="0"/>
      </font>
      <fill>
        <patternFill>
          <bgColor rgb="FF00FF00"/>
        </patternFill>
      </fill>
    </dxf>
    <dxf>
      <font>
        <b/>
        <i val="0"/>
        <color theme="0"/>
      </font>
      <fill>
        <patternFill>
          <bgColor rgb="FFFF0000"/>
        </patternFill>
      </fill>
    </dxf>
    <dxf>
      <font>
        <color rgb="FFC00000"/>
      </font>
      <fill>
        <patternFill>
          <bgColor rgb="FFFFCCCC"/>
        </patternFill>
      </fill>
    </dxf>
    <dxf>
      <font>
        <color rgb="FFC00000"/>
      </font>
      <fill>
        <patternFill>
          <bgColor rgb="FFFFCCCC"/>
        </patternFill>
      </fill>
    </dxf>
    <dxf>
      <fill>
        <patternFill>
          <bgColor rgb="FFFFFFCC"/>
        </patternFill>
      </fill>
    </dxf>
    <dxf>
      <font>
        <color rgb="FF009999"/>
      </font>
      <fill>
        <patternFill>
          <bgColor theme="6" tint="0.79998168889431442"/>
        </patternFill>
      </fill>
    </dxf>
    <dxf>
      <font>
        <color theme="9" tint="-0.24994659260841701"/>
      </font>
      <fill>
        <patternFill>
          <bgColor theme="9" tint="0.79998168889431442"/>
        </patternFill>
      </fill>
    </dxf>
    <dxf>
      <font>
        <color theme="7" tint="-0.499984740745262"/>
      </font>
      <fill>
        <patternFill>
          <bgColor theme="7" tint="0.79998168889431442"/>
        </patternFill>
      </fill>
    </dxf>
    <dxf>
      <fill>
        <patternFill>
          <bgColor rgb="FFFFFFCC"/>
        </patternFill>
      </fill>
    </dxf>
    <dxf>
      <fill>
        <patternFill>
          <bgColor theme="6" tint="0.79998168889431442"/>
        </patternFill>
      </fill>
    </dxf>
    <dxf>
      <font>
        <b/>
        <i val="0"/>
      </font>
      <fill>
        <patternFill>
          <bgColor rgb="FF00FF00"/>
        </patternFill>
      </fill>
    </dxf>
    <dxf>
      <font>
        <b/>
        <i val="0"/>
        <color theme="0"/>
      </font>
      <fill>
        <patternFill>
          <bgColor rgb="FFFF0000"/>
        </patternFill>
      </fill>
    </dxf>
    <dxf>
      <numFmt numFmtId="165" formatCode="_(&quot;$&quot;* #,##0.00_);_(&quot;$&quot;* \(#,##0.00\);_(&quot;$&quot;* &quot;-&quot;??_);_(@_)"/>
    </dxf>
    <dxf>
      <numFmt numFmtId="13" formatCode="0%"/>
    </dxf>
    <dxf>
      <numFmt numFmtId="165" formatCode="_(&quot;$&quot;* #,##0.00_);_(&quot;$&quot;* \(#,##0.00\);_(&quot;$&quot;* &quot;-&quot;??_);_(@_)"/>
    </dxf>
    <dxf>
      <numFmt numFmtId="165" formatCode="_(&quot;$&quot;* #,##0.00_);_(&quot;$&quot;* \(#,##0.00\);_(&quot;$&quot;* &quot;-&quot;??_);_(@_)"/>
    </dxf>
    <dxf>
      <numFmt numFmtId="165" formatCode="_(&quot;$&quot;* #,##0.00_);_(&quot;$&quot;* \(#,##0.00\);_(&quot;$&quot;* &quot;-&quot;??_);_(@_)"/>
    </dxf>
    <dxf>
      <alignment horizontal="center"/>
    </dxf>
    <dxf>
      <alignment vertical="center"/>
    </dxf>
    <dxf>
      <numFmt numFmtId="167" formatCode="&quot;$&quot;#,##0.00"/>
    </dxf>
    <dxf>
      <numFmt numFmtId="165" formatCode="_(&quot;$&quot;* #,##0.00_);_(&quot;$&quot;* \(#,##0.00\);_(&quot;$&quot;* &quot;-&quot;??_);_(@_)"/>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fill>
        <patternFill patternType="solid">
          <bgColor rgb="FFFF0000"/>
        </patternFill>
      </fill>
    </dxf>
    <dxf>
      <fill>
        <patternFill patternType="solid">
          <bgColor rgb="FFFF0000"/>
        </patternFill>
      </fill>
    </dxf>
    <dxf>
      <fill>
        <patternFill>
          <bgColor rgb="FF002060"/>
        </patternFill>
      </fill>
    </dxf>
    <dxf>
      <fill>
        <patternFill>
          <bgColor rgb="FF002060"/>
        </patternFill>
      </fill>
    </dxf>
    <dxf>
      <font>
        <color theme="0"/>
      </font>
    </dxf>
    <dxf>
      <font>
        <color theme="0"/>
      </font>
    </dxf>
    <dxf>
      <fill>
        <patternFill patternType="solid">
          <bgColor rgb="FF002060"/>
        </patternFill>
      </fill>
    </dxf>
    <dxf>
      <font>
        <color theme="0"/>
      </font>
    </dxf>
    <dxf>
      <fill>
        <patternFill patternType="solid">
          <bgColor rgb="FF002060"/>
        </patternFill>
      </fill>
    </dxf>
    <dxf>
      <font>
        <color theme="0"/>
      </font>
    </dxf>
    <dxf>
      <fill>
        <patternFill patternType="solid">
          <bgColor rgb="FF002060"/>
        </patternFill>
      </fill>
    </dxf>
    <dxf>
      <border>
        <top style="medium">
          <color indexed="64"/>
        </top>
        <bottom style="medium">
          <color indexed="64"/>
        </bottom>
      </border>
    </dxf>
    <dxf>
      <font>
        <color theme="0"/>
      </font>
    </dxf>
    <dxf>
      <fill>
        <patternFill patternType="solid">
          <bgColor rgb="FF002060"/>
        </patternFill>
      </fill>
    </dxf>
    <dxf>
      <font>
        <color theme="0"/>
      </font>
    </dxf>
    <dxf>
      <numFmt numFmtId="165" formatCode="_(&quot;$&quot;* #,##0.00_);_(&quot;$&quot;* \(#,##0.00\);_(&quot;$&quot;* &quot;-&quot;??_);_(@_)"/>
    </dxf>
    <dxf>
      <numFmt numFmtId="165" formatCode="_(&quot;$&quot;* #,##0.00_);_(&quot;$&quot;* \(#,##0.00\);_(&quot;$&quot;* &quot;-&quot;??_);_(@_)"/>
    </dxf>
    <dxf>
      <numFmt numFmtId="165" formatCode="_(&quot;$&quot;* #,##0.00_);_(&quot;$&quot;* \(#,##0.00\);_(&quot;$&quot;* &quot;-&quot;??_);_(@_)"/>
    </dxf>
    <dxf>
      <numFmt numFmtId="165" formatCode="_(&quot;$&quot;* #,##0.00_);_(&quot;$&quot;* \(#,##0.00\);_(&quot;$&quot;* &quot;-&quot;??_);_(@_)"/>
    </dxf>
    <dxf>
      <numFmt numFmtId="165" formatCode="_(&quot;$&quot;* #,##0.00_);_(&quot;$&quot;* \(#,##0.00\);_(&quot;$&quot;* &quot;-&quot;??_);_(@_)"/>
    </dxf>
    <dxf>
      <numFmt numFmtId="165" formatCode="_(&quot;$&quot;* #,##0.00_);_(&quot;$&quot;* \(#,##0.00\);_(&quot;$&quot;* &quot;-&quot;??_);_(@_)"/>
    </dxf>
    <dxf>
      <numFmt numFmtId="165" formatCode="_(&quot;$&quot;* #,##0.00_);_(&quot;$&quot;* \(#,##0.00\);_(&quot;$&quot;* &quot;-&quot;??_);_(@_)"/>
    </dxf>
    <dxf>
      <numFmt numFmtId="165" formatCode="_(&quot;$&quot;* #,##0.00_);_(&quot;$&quot;* \(#,##0.00\);_(&quot;$&quot;* &quot;-&quot;??_);_(@_)"/>
    </dxf>
    <dxf>
      <numFmt numFmtId="165" formatCode="_(&quot;$&quot;* #,##0.00_);_(&quot;$&quot;* \(#,##0.00\);_(&quot;$&quot;* &quot;-&quot;??_);_(@_)"/>
    </dxf>
    <dxf>
      <numFmt numFmtId="165" formatCode="_(&quot;$&quot;* #,##0.00_);_(&quot;$&quot;* \(#,##0.00\);_(&quot;$&quot;* &quot;-&quot;??_);_(@_)"/>
    </dxf>
    <dxf>
      <numFmt numFmtId="165" formatCode="_(&quot;$&quot;* #,##0.00_);_(&quot;$&quot;* \(#,##0.00\);_(&quot;$&quot;* &quot;-&quot;??_);_(@_)"/>
    </dxf>
    <dxf>
      <numFmt numFmtId="165" formatCode="_(&quot;$&quot;* #,##0.00_);_(&quot;$&quot;* \(#,##0.00\);_(&quot;$&quot;* &quot;-&quot;??_);_(@_)"/>
    </dxf>
    <dxf>
      <numFmt numFmtId="165" formatCode="_(&quot;$&quot;* #,##0.00_);_(&quot;$&quot;* \(#,##0.00\);_(&quot;$&quot;* &quot;-&quot;??_);_(@_)"/>
    </dxf>
    <dxf>
      <numFmt numFmtId="165" formatCode="_(&quot;$&quot;* #,##0.00_);_(&quot;$&quot;* \(#,##0.00\);_(&quot;$&quot;* &quot;-&quot;??_);_(@_)"/>
    </dxf>
    <dxf>
      <numFmt numFmtId="165" formatCode="_(&quot;$&quot;* #,##0.00_);_(&quot;$&quot;* \(#,##0.00\);_(&quot;$&quot;* &quot;-&quot;??_);_(@_)"/>
    </dxf>
    <dxf>
      <numFmt numFmtId="165" formatCode="_(&quot;$&quot;* #,##0.00_);_(&quot;$&quot;* \(#,##0.00\);_(&quot;$&quot;* &quot;-&quot;??_);_(@_)"/>
    </dxf>
    <dxf>
      <numFmt numFmtId="165" formatCode="_(&quot;$&quot;* #,##0.00_);_(&quot;$&quot;* \(#,##0.00\);_(&quot;$&quot;* &quot;-&quot;??_);_(@_)"/>
    </dxf>
    <dxf>
      <numFmt numFmtId="165" formatCode="_(&quot;$&quot;* #,##0.00_);_(&quot;$&quot;* \(#,##0.00\);_(&quot;$&quot;* &quot;-&quot;??_);_(@_)"/>
    </dxf>
    <dxf>
      <numFmt numFmtId="165" formatCode="_(&quot;$&quot;* #,##0.00_);_(&quot;$&quot;* \(#,##0.00\);_(&quot;$&quot;* &quot;-&quot;??_);_(@_)"/>
    </dxf>
    <dxf>
      <numFmt numFmtId="165" formatCode="_(&quot;$&quot;* #,##0.00_);_(&quot;$&quot;* \(#,##0.00\);_(&quot;$&quot;* &quot;-&quot;??_);_(@_)"/>
    </dxf>
    <dxf>
      <border>
        <top style="medium">
          <color indexed="64"/>
        </top>
      </border>
    </dxf>
    <dxf>
      <border>
        <top style="medium">
          <color indexed="64"/>
        </top>
      </border>
    </dxf>
    <dxf>
      <fill>
        <patternFill patternType="none">
          <bgColor auto="1"/>
        </patternFill>
      </fill>
    </dxf>
    <dxf>
      <fill>
        <patternFill patternType="none">
          <bgColor auto="1"/>
        </patternFill>
      </fill>
    </dxf>
    <dxf>
      <alignment horizontal="center"/>
    </dxf>
    <dxf>
      <alignment horizontal="center"/>
    </dxf>
    <dxf>
      <alignment vertical="center"/>
    </dxf>
    <dxf>
      <alignment vertical="cent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font>
        <name val="Poppins"/>
        <scheme val="none"/>
      </font>
    </dxf>
    <dxf>
      <font>
        <sz val="10"/>
      </font>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ont>
        <color theme="0"/>
      </font>
    </dxf>
    <dxf>
      <font>
        <color theme="0"/>
      </font>
    </dxf>
    <dxf>
      <font>
        <color theme="0"/>
      </font>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ill>
        <patternFill patternType="solid">
          <bgColor rgb="FF002060"/>
        </patternFill>
      </fill>
    </dxf>
    <dxf>
      <fill>
        <patternFill patternType="solid">
          <bgColor rgb="FF002060"/>
        </patternFill>
      </fill>
    </dxf>
    <dxf>
      <font>
        <color theme="0"/>
      </font>
    </dxf>
    <dxf>
      <font>
        <color theme="0"/>
      </font>
    </dxf>
    <dxf>
      <fill>
        <patternFill patternType="solid">
          <bgColor rgb="FF002060"/>
        </patternFill>
      </fill>
    </dxf>
    <dxf>
      <font>
        <color theme="0"/>
      </font>
    </dxf>
    <dxf>
      <numFmt numFmtId="167" formatCode="&quot;$&quot;#,##0.00"/>
    </dxf>
    <dxf>
      <fill>
        <patternFill patternType="solid">
          <bgColor rgb="FF002060"/>
        </patternFill>
      </fill>
    </dxf>
    <dxf>
      <fill>
        <patternFill patternType="solid">
          <bgColor rgb="FF002060"/>
        </patternFill>
      </fill>
    </dxf>
    <dxf>
      <font>
        <color theme="0"/>
      </font>
    </dxf>
    <dxf>
      <font>
        <color theme="0"/>
      </font>
    </dxf>
    <dxf>
      <fill>
        <patternFill patternType="solid">
          <bgColor rgb="FFFFC000"/>
        </patternFill>
      </fill>
    </dxf>
    <dxf>
      <fill>
        <patternFill patternType="solid">
          <bgColor rgb="FFFFC000"/>
        </patternFill>
      </fill>
    </dxf>
    <dxf>
      <fill>
        <patternFill patternType="solid">
          <bgColor rgb="FFFFC000"/>
        </patternFill>
      </fill>
    </dxf>
    <dxf>
      <fill>
        <patternFill>
          <bgColor rgb="FFFFFF00"/>
        </patternFill>
      </fill>
    </dxf>
    <dxf>
      <fill>
        <patternFill patternType="solid">
          <bgColor rgb="FF66FF99"/>
        </patternFill>
      </fill>
    </dxf>
    <dxf>
      <fill>
        <patternFill patternType="solid">
          <bgColor rgb="FFFFFF00"/>
        </patternFill>
      </fill>
    </dxf>
    <dxf>
      <fill>
        <patternFill patternType="solid">
          <bgColor rgb="FF66FF99"/>
        </patternFill>
      </fill>
    </dxf>
    <dxf>
      <fill>
        <patternFill patternType="solid">
          <bgColor rgb="FF66FF99"/>
        </patternFill>
      </fill>
    </dxf>
    <dxf>
      <fill>
        <patternFill patternType="solid">
          <bgColor rgb="FF66FF99"/>
        </patternFill>
      </fill>
    </dxf>
    <dxf>
      <fill>
        <patternFill patternType="none">
          <bgColor auto="1"/>
        </patternFill>
      </fill>
    </dxf>
    <dxf>
      <fill>
        <patternFill>
          <bgColor rgb="FFFF0000"/>
        </patternFill>
      </fill>
    </dxf>
    <dxf>
      <fill>
        <patternFill>
          <bgColor rgb="FFFF0000"/>
        </patternFill>
      </fill>
    </dxf>
    <dxf>
      <font>
        <color theme="0"/>
      </font>
    </dxf>
    <dxf>
      <font>
        <color theme="0"/>
      </font>
    </dxf>
    <dxf>
      <fill>
        <patternFill patternType="solid">
          <bgColor rgb="FF002060"/>
        </patternFill>
      </fill>
    </dxf>
    <dxf>
      <font>
        <color theme="0"/>
      </font>
    </dxf>
    <dxf>
      <fill>
        <patternFill patternType="none">
          <bgColor auto="1"/>
        </patternFill>
      </fill>
    </dxf>
    <dxf>
      <fill>
        <patternFill patternType="none">
          <bgColor auto="1"/>
        </patternFill>
      </fill>
    </dxf>
    <dxf>
      <fill>
        <patternFill>
          <bgColor rgb="FFFFC000"/>
        </patternFill>
      </fill>
    </dxf>
    <dxf>
      <fill>
        <patternFill>
          <bgColor rgb="FFFFC000"/>
        </patternFill>
      </fill>
    </dxf>
    <dxf>
      <fill>
        <patternFill>
          <bgColor rgb="FFFFFF00"/>
        </patternFill>
      </fill>
    </dxf>
    <dxf>
      <fill>
        <patternFill>
          <bgColor rgb="FF66FF99"/>
        </patternFill>
      </fill>
    </dxf>
    <dxf>
      <fill>
        <patternFill>
          <bgColor rgb="FF66FF99"/>
        </patternFill>
      </fill>
    </dxf>
    <dxf>
      <fill>
        <patternFill>
          <bgColor rgb="FF66FF99"/>
        </patternFill>
      </fill>
    </dxf>
    <dxf>
      <fill>
        <patternFill>
          <bgColor rgb="FF66FF99"/>
        </patternFill>
      </fill>
    </dxf>
    <dxf>
      <fill>
        <patternFill>
          <bgColor rgb="FF66FF99"/>
        </patternFill>
      </fill>
    </dxf>
    <dxf>
      <fill>
        <patternFill>
          <bgColor rgb="FF66FF99"/>
        </patternFill>
      </fill>
    </dxf>
    <dxf>
      <fill>
        <patternFill>
          <bgColor rgb="FFFF0000"/>
        </patternFill>
      </fill>
    </dxf>
    <dxf>
      <fill>
        <patternFill>
          <bgColor rgb="FFFF0000"/>
        </patternFill>
      </fill>
    </dxf>
    <dxf>
      <fill>
        <patternFill patternType="solid">
          <bgColor rgb="FFFFC000"/>
        </patternFill>
      </fill>
    </dxf>
    <dxf>
      <fill>
        <patternFill patternType="solid">
          <bgColor rgb="FFFFC000"/>
        </patternFill>
      </fill>
    </dxf>
    <dxf>
      <fill>
        <patternFill patternType="solid">
          <bgColor rgb="FF66FF99"/>
        </patternFill>
      </fill>
    </dxf>
    <dxf>
      <fill>
        <patternFill patternType="solid">
          <bgColor rgb="FF66FF99"/>
        </patternFill>
      </fill>
    </dxf>
    <dxf>
      <fill>
        <patternFill>
          <bgColor rgb="FF66FF99"/>
        </patternFill>
      </fill>
    </dxf>
    <dxf>
      <fill>
        <patternFill>
          <bgColor rgb="FF66FF99"/>
        </patternFill>
      </fill>
    </dxf>
    <dxf>
      <fill>
        <patternFill>
          <bgColor rgb="FF66FF99"/>
        </patternFill>
      </fill>
    </dxf>
    <dxf>
      <fill>
        <patternFill>
          <bgColor rgb="FF66FF99"/>
        </patternFill>
      </fill>
    </dxf>
    <dxf>
      <fill>
        <patternFill patternType="solid">
          <bgColor rgb="FF66FF99"/>
        </patternFill>
      </fill>
    </dxf>
    <dxf>
      <fill>
        <patternFill patternType="solid">
          <bgColor rgb="FF66FF99"/>
        </patternFill>
      </fill>
    </dxf>
    <dxf>
      <fill>
        <patternFill>
          <bgColor rgb="FFFFFF00"/>
        </patternFill>
      </fill>
    </dxf>
    <dxf>
      <fill>
        <patternFill>
          <bgColor rgb="FFFFFF00"/>
        </patternFill>
      </fill>
    </dxf>
    <dxf>
      <fill>
        <patternFill>
          <bgColor theme="0"/>
        </patternFill>
      </fill>
    </dxf>
    <dxf>
      <font>
        <name val="Calibri Light"/>
        <family val="2"/>
        <scheme val="major"/>
      </font>
      <fill>
        <patternFill>
          <bgColor rgb="FF009999"/>
        </patternFill>
      </fill>
    </dxf>
    <dxf>
      <font>
        <name val="Poppins"/>
      </font>
      <fill>
        <patternFill>
          <bgColor rgb="FF002060"/>
        </patternFill>
      </fill>
    </dxf>
    <dxf>
      <font>
        <color theme="0"/>
        <name val="Poppins"/>
      </font>
      <fill>
        <patternFill>
          <bgColor rgb="FF002060"/>
        </patternFill>
      </fill>
    </dxf>
  </dxfs>
  <tableStyles count="3" defaultTableStyle="TableStyleMedium2" defaultPivotStyle="PivotStyleLight16">
    <tableStyle name="iBtest" pivot="0" table="0" count="4" xr9:uid="{B7737512-81A1-4287-B5FA-61B3BE97C7A8}">
      <tableStyleElement type="wholeTable" dxfId="323"/>
      <tableStyleElement type="headerRow" dxfId="322"/>
    </tableStyle>
    <tableStyle name="Slicer Style 1" pivot="0" table="0" count="2" xr9:uid="{CE2F27CF-AF70-4CC1-A2A3-8DDAABE02CB3}">
      <tableStyleElement type="wholeTable" dxfId="321"/>
    </tableStyle>
    <tableStyle name="Slicer Style 2" pivot="0" table="0" count="1" xr9:uid="{A65092DD-DCB1-4A05-9504-E34BE8FCE2D0}">
      <tableStyleElement type="headerRow" dxfId="320"/>
    </tableStyle>
  </tableStyles>
  <colors>
    <mruColors>
      <color rgb="FFD9FFFF"/>
      <color rgb="FF66FF99"/>
      <color rgb="FF00FF00"/>
      <color rgb="FF009999"/>
      <color rgb="FF008000"/>
      <color rgb="FF00FFFF"/>
      <color rgb="FFCCCCFF"/>
      <color rgb="FFFFFFCC"/>
      <color rgb="FF99FFCC"/>
      <color rgb="FFCCFFCC"/>
    </mruColors>
  </colors>
  <extLst>
    <ext xmlns:x14="http://schemas.microsoft.com/office/spreadsheetml/2009/9/main" uri="{46F421CA-312F-682f-3DD2-61675219B42D}">
      <x14:dxfs count="3">
        <dxf>
          <font>
            <name val="Calibri LIight"/>
          </font>
          <fill>
            <patternFill>
              <bgColor rgb="FF009999"/>
            </patternFill>
          </fill>
        </dxf>
        <dxf>
          <font>
            <color rgb="FF002060"/>
          </font>
          <fill>
            <patternFill>
              <bgColor rgb="FF002060"/>
            </patternFill>
          </fill>
        </dxf>
        <dxf>
          <font>
            <color rgb="FF002060"/>
          </font>
          <fill>
            <patternFill>
              <bgColor theme="0"/>
            </patternFill>
          </fill>
        </dxf>
      </x14:dxfs>
    </ext>
    <ext xmlns:x14="http://schemas.microsoft.com/office/spreadsheetml/2009/9/main" uri="{EB79DEF2-80B8-43e5-95BD-54CBDDF9020C}">
      <x14:slicerStyles defaultSlicerStyle="SlicerStyleLight1">
        <x14:slicerStyle name="iBtest">
          <x14:slicerStyleElements>
            <x14:slicerStyleElement type="selectedItemWithData" dxfId="2"/>
            <x14:slicerStyleElement type="selectedItemWithNoData" dxfId="1"/>
          </x14:slicerStyleElements>
        </x14:slicerStyle>
        <x14:slicerStyle name="Slicer Style 1">
          <x14:slicerStyleElements>
            <x14:slicerStyleElement type="un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microsoft.com/office/2007/relationships/slicerCache" Target="slicerCaches/slicerCache3.xml"/><Relationship Id="rId26" Type="http://schemas.microsoft.com/office/2007/relationships/slicerCache" Target="slicerCaches/slicerCache11.xml"/><Relationship Id="rId3" Type="http://schemas.openxmlformats.org/officeDocument/2006/relationships/worksheet" Target="worksheets/sheet3.xml"/><Relationship Id="rId21" Type="http://schemas.microsoft.com/office/2007/relationships/slicerCache" Target="slicerCaches/slicerCache6.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microsoft.com/office/2007/relationships/slicerCache" Target="slicerCaches/slicerCache10.xml"/><Relationship Id="rId33"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9.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microsoft.com/office/2007/relationships/slicerCache" Target="slicerCaches/slicerCache8.xml"/><Relationship Id="rId28"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4.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7.xml"/><Relationship Id="rId27" Type="http://schemas.microsoft.com/office/2007/relationships/slicerCache" Target="slicerCaches/slicerCache12.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pivotSource>
    <c:name>[iBtest LLC-Overall Results.xlsx]Tabla Pivotes!YTD Sales</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99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056532762734239E-2"/>
          <c:y val="0.16080686221487367"/>
          <c:w val="0.94388681605278901"/>
          <c:h val="0.6475313905572353"/>
        </c:manualLayout>
      </c:layout>
      <c:barChart>
        <c:barDir val="col"/>
        <c:grouping val="clustered"/>
        <c:varyColors val="0"/>
        <c:ser>
          <c:idx val="0"/>
          <c:order val="0"/>
          <c:tx>
            <c:strRef>
              <c:f>'Tabla Pivotes'!$AY$3</c:f>
              <c:strCache>
                <c:ptCount val="1"/>
                <c:pt idx="0">
                  <c:v>Total</c:v>
                </c:pt>
              </c:strCache>
            </c:strRef>
          </c:tx>
          <c:spPr>
            <a:solidFill>
              <a:srgbClr val="0099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'Tabla Pivotes'!$AX$4:$AX$18</c:f>
              <c:multiLvlStrCache>
                <c:ptCount val="12"/>
                <c:lvl>
                  <c:pt idx="0">
                    <c:v>Dec</c:v>
                  </c:pt>
                  <c:pt idx="1">
                    <c:v>Jan</c:v>
                  </c:pt>
                  <c:pt idx="2">
                    <c:v>Feb</c:v>
                  </c:pt>
                  <c:pt idx="3">
                    <c:v>Mar</c:v>
                  </c:pt>
                  <c:pt idx="4">
                    <c:v>Apr</c:v>
                  </c:pt>
                  <c:pt idx="5">
                    <c:v>May</c:v>
                  </c:pt>
                  <c:pt idx="6">
                    <c:v>Jun</c:v>
                  </c:pt>
                  <c:pt idx="7">
                    <c:v>Jul</c:v>
                  </c:pt>
                  <c:pt idx="8">
                    <c:v>Aug</c:v>
                  </c:pt>
                  <c:pt idx="9">
                    <c:v>Sep</c:v>
                  </c:pt>
                  <c:pt idx="10">
                    <c:v>Oct</c:v>
                  </c:pt>
                  <c:pt idx="11">
                    <c:v>Nov</c:v>
                  </c:pt>
                </c:lvl>
                <c:lvl>
                  <c:pt idx="0">
                    <c:v>2022</c:v>
                  </c:pt>
                  <c:pt idx="1">
                    <c:v>2023</c:v>
                  </c:pt>
                </c:lvl>
              </c:multiLvlStrCache>
            </c:multiLvlStrRef>
          </c:cat>
          <c:val>
            <c:numRef>
              <c:f>'Tabla Pivotes'!$AY$4:$AY$18</c:f>
              <c:numCache>
                <c:formatCode>_("$"* #,##0.00_);_("$"* \(#,##0.00\);_("$"* "-"??_);_(@_)</c:formatCode>
                <c:ptCount val="12"/>
                <c:pt idx="0">
                  <c:v>99368.17</c:v>
                </c:pt>
                <c:pt idx="1">
                  <c:v>9747.4699999999993</c:v>
                </c:pt>
                <c:pt idx="2">
                  <c:v>68407.350000000006</c:v>
                </c:pt>
                <c:pt idx="3">
                  <c:v>146569.07</c:v>
                </c:pt>
                <c:pt idx="4">
                  <c:v>79093.200000000012</c:v>
                </c:pt>
                <c:pt idx="5">
                  <c:v>20493.060000000001</c:v>
                </c:pt>
                <c:pt idx="6">
                  <c:v>187200.78999999998</c:v>
                </c:pt>
                <c:pt idx="7">
                  <c:v>18127.3</c:v>
                </c:pt>
                <c:pt idx="8">
                  <c:v>62368.57</c:v>
                </c:pt>
                <c:pt idx="9">
                  <c:v>107959.9</c:v>
                </c:pt>
                <c:pt idx="10">
                  <c:v>157717.85999999999</c:v>
                </c:pt>
                <c:pt idx="11">
                  <c:v>132046.59</c:v>
                </c:pt>
              </c:numCache>
            </c:numRef>
          </c:val>
          <c:extLst>
            <c:ext xmlns:c16="http://schemas.microsoft.com/office/drawing/2014/chart" uri="{C3380CC4-5D6E-409C-BE32-E72D297353CC}">
              <c16:uniqueId val="{00000000-018A-4B55-996A-08A012D6B3AA}"/>
            </c:ext>
          </c:extLst>
        </c:ser>
        <c:dLbls>
          <c:dLblPos val="outEnd"/>
          <c:showLegendKey val="0"/>
          <c:showVal val="1"/>
          <c:showCatName val="0"/>
          <c:showSerName val="0"/>
          <c:showPercent val="0"/>
          <c:showBubbleSize val="0"/>
        </c:dLbls>
        <c:gapWidth val="219"/>
        <c:overlap val="-27"/>
        <c:axId val="989893440"/>
        <c:axId val="1481669632"/>
      </c:barChart>
      <c:catAx>
        <c:axId val="98989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669632"/>
        <c:crosses val="autoZero"/>
        <c:auto val="1"/>
        <c:lblAlgn val="ctr"/>
        <c:lblOffset val="100"/>
        <c:noMultiLvlLbl val="0"/>
      </c:catAx>
      <c:valAx>
        <c:axId val="1481669632"/>
        <c:scaling>
          <c:orientation val="minMax"/>
        </c:scaling>
        <c:delete val="1"/>
        <c:axPos val="l"/>
        <c:numFmt formatCode="_(&quot;$&quot;* #,##0.00_);_(&quot;$&quot;* \(#,##0.00\);_(&quot;$&quot;* &quot;-&quot;??_);_(@_)" sourceLinked="1"/>
        <c:majorTickMark val="none"/>
        <c:minorTickMark val="none"/>
        <c:tickLblPos val="nextTo"/>
        <c:crossAx val="98989344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pivotSource>
    <c:name>[iBtest LLC-Overall Results.xlsx]Tabla Pivotes!Invoice per Month</c:name>
    <c:fmtId val="15"/>
  </c:pivotSource>
  <c:chart>
    <c:autoTitleDeleted val="1"/>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99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9999"/>
          </a:solidFill>
          <a:ln>
            <a:noFill/>
          </a:ln>
          <a:effectLst/>
        </c:spPr>
        <c:dLbl>
          <c:idx val="0"/>
          <c:layout>
            <c:manualLayout>
              <c:x val="-1.8289009845967655E-3"/>
              <c:y val="-6.67234078323824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 Pivotes'!$AM$3:$AM$4</c:f>
              <c:strCache>
                <c:ptCount val="1"/>
                <c:pt idx="0">
                  <c:v>Invoiced</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'Tabla Pivotes'!$AL$5:$AL$21</c:f>
              <c:multiLvlStrCache>
                <c:ptCount val="14"/>
                <c:lvl>
                  <c:pt idx="1">
                    <c:v>Jan</c:v>
                  </c:pt>
                  <c:pt idx="2">
                    <c:v>Mar</c:v>
                  </c:pt>
                  <c:pt idx="3">
                    <c:v>May</c:v>
                  </c:pt>
                  <c:pt idx="4">
                    <c:v>Jun</c:v>
                  </c:pt>
                  <c:pt idx="5">
                    <c:v>Jul</c:v>
                  </c:pt>
                  <c:pt idx="6">
                    <c:v>Aug</c:v>
                  </c:pt>
                  <c:pt idx="7">
                    <c:v>Sep</c:v>
                  </c:pt>
                  <c:pt idx="8">
                    <c:v>Oct</c:v>
                  </c:pt>
                  <c:pt idx="9">
                    <c:v>Nov</c:v>
                  </c:pt>
                  <c:pt idx="10">
                    <c:v>Dec</c:v>
                  </c:pt>
                  <c:pt idx="11">
                    <c:v>Jan</c:v>
                  </c:pt>
                  <c:pt idx="12">
                    <c:v>Feb</c:v>
                  </c:pt>
                  <c:pt idx="13">
                    <c:v>Mar</c:v>
                  </c:pt>
                </c:lvl>
                <c:lvl>
                  <c:pt idx="0">
                    <c:v>&lt;1/2/2023</c:v>
                  </c:pt>
                  <c:pt idx="1">
                    <c:v>2023</c:v>
                  </c:pt>
                  <c:pt idx="11">
                    <c:v>2024</c:v>
                  </c:pt>
                </c:lvl>
              </c:multiLvlStrCache>
            </c:multiLvlStrRef>
          </c:cat>
          <c:val>
            <c:numRef>
              <c:f>'Tabla Pivotes'!$AM$5:$AM$21</c:f>
              <c:numCache>
                <c:formatCode>_("$"* #,##0.00_);_("$"* \(#,##0.00\);_("$"* "-"??_);_(@_)</c:formatCode>
                <c:ptCount val="14"/>
                <c:pt idx="1">
                  <c:v>99368.17</c:v>
                </c:pt>
                <c:pt idx="2">
                  <c:v>148769.07</c:v>
                </c:pt>
                <c:pt idx="3">
                  <c:v>86700.41</c:v>
                </c:pt>
                <c:pt idx="4">
                  <c:v>27834.02</c:v>
                </c:pt>
                <c:pt idx="5">
                  <c:v>55245.23</c:v>
                </c:pt>
                <c:pt idx="6">
                  <c:v>46102.75</c:v>
                </c:pt>
                <c:pt idx="7">
                  <c:v>195704.15000000002</c:v>
                </c:pt>
                <c:pt idx="8">
                  <c:v>49809.67</c:v>
                </c:pt>
                <c:pt idx="9">
                  <c:v>1781.97</c:v>
                </c:pt>
                <c:pt idx="10">
                  <c:v>2420</c:v>
                </c:pt>
              </c:numCache>
            </c:numRef>
          </c:val>
          <c:extLst>
            <c:ext xmlns:c16="http://schemas.microsoft.com/office/drawing/2014/chart" uri="{C3380CC4-5D6E-409C-BE32-E72D297353CC}">
              <c16:uniqueId val="{00000000-62DE-4D1A-B36E-45943E4F0CFC}"/>
            </c:ext>
          </c:extLst>
        </c:ser>
        <c:ser>
          <c:idx val="1"/>
          <c:order val="1"/>
          <c:tx>
            <c:strRef>
              <c:f>'Tabla Pivotes'!$AN$3:$AN$4</c:f>
              <c:strCache>
                <c:ptCount val="1"/>
                <c:pt idx="0">
                  <c:v>Pending</c:v>
                </c:pt>
              </c:strCache>
            </c:strRef>
          </c:tx>
          <c:spPr>
            <a:solidFill>
              <a:srgbClr val="009999"/>
            </a:solidFill>
            <a:ln>
              <a:noFill/>
            </a:ln>
            <a:effectLst/>
          </c:spPr>
          <c:invertIfNegative val="0"/>
          <c:dPt>
            <c:idx val="9"/>
            <c:invertIfNegative val="0"/>
            <c:bubble3D val="0"/>
            <c:spPr>
              <a:solidFill>
                <a:srgbClr val="009999"/>
              </a:solidFill>
              <a:ln>
                <a:noFill/>
              </a:ln>
              <a:effectLst/>
            </c:spPr>
            <c:extLst>
              <c:ext xmlns:c16="http://schemas.microsoft.com/office/drawing/2014/chart" uri="{C3380CC4-5D6E-409C-BE32-E72D297353CC}">
                <c16:uniqueId val="{00000001-A406-4DAF-9818-EBA0EE30055E}"/>
              </c:ext>
            </c:extLst>
          </c:dPt>
          <c:dLbls>
            <c:dLbl>
              <c:idx val="9"/>
              <c:layout>
                <c:manualLayout>
                  <c:x val="-1.8289009845967655E-3"/>
                  <c:y val="-6.672340783238249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06-4DAF-9818-EBA0EE30055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'Tabla Pivotes'!$AL$5:$AL$21</c:f>
              <c:multiLvlStrCache>
                <c:ptCount val="14"/>
                <c:lvl>
                  <c:pt idx="1">
                    <c:v>Jan</c:v>
                  </c:pt>
                  <c:pt idx="2">
                    <c:v>Mar</c:v>
                  </c:pt>
                  <c:pt idx="3">
                    <c:v>May</c:v>
                  </c:pt>
                  <c:pt idx="4">
                    <c:v>Jun</c:v>
                  </c:pt>
                  <c:pt idx="5">
                    <c:v>Jul</c:v>
                  </c:pt>
                  <c:pt idx="6">
                    <c:v>Aug</c:v>
                  </c:pt>
                  <c:pt idx="7">
                    <c:v>Sep</c:v>
                  </c:pt>
                  <c:pt idx="8">
                    <c:v>Oct</c:v>
                  </c:pt>
                  <c:pt idx="9">
                    <c:v>Nov</c:v>
                  </c:pt>
                  <c:pt idx="10">
                    <c:v>Dec</c:v>
                  </c:pt>
                  <c:pt idx="11">
                    <c:v>Jan</c:v>
                  </c:pt>
                  <c:pt idx="12">
                    <c:v>Feb</c:v>
                  </c:pt>
                  <c:pt idx="13">
                    <c:v>Mar</c:v>
                  </c:pt>
                </c:lvl>
                <c:lvl>
                  <c:pt idx="0">
                    <c:v>&lt;1/2/2023</c:v>
                  </c:pt>
                  <c:pt idx="1">
                    <c:v>2023</c:v>
                  </c:pt>
                  <c:pt idx="11">
                    <c:v>2024</c:v>
                  </c:pt>
                </c:lvl>
              </c:multiLvlStrCache>
            </c:multiLvlStrRef>
          </c:cat>
          <c:val>
            <c:numRef>
              <c:f>'Tabla Pivotes'!$AN$5:$AN$21</c:f>
              <c:numCache>
                <c:formatCode>_("$"* #,##0.00_);_("$"* \(#,##0.00\);_("$"* "-"??_);_(@_)</c:formatCode>
                <c:ptCount val="14"/>
                <c:pt idx="10">
                  <c:v>9715</c:v>
                </c:pt>
                <c:pt idx="11">
                  <c:v>190593.62</c:v>
                </c:pt>
                <c:pt idx="12">
                  <c:v>202070.45</c:v>
                </c:pt>
                <c:pt idx="13">
                  <c:v>38964.870000000003</c:v>
                </c:pt>
              </c:numCache>
            </c:numRef>
          </c:val>
          <c:extLst>
            <c:ext xmlns:c16="http://schemas.microsoft.com/office/drawing/2014/chart" uri="{C3380CC4-5D6E-409C-BE32-E72D297353CC}">
              <c16:uniqueId val="{00000005-6190-4246-A862-50A7E62863BE}"/>
            </c:ext>
          </c:extLst>
        </c:ser>
        <c:ser>
          <c:idx val="2"/>
          <c:order val="2"/>
          <c:tx>
            <c:strRef>
              <c:f>'Tabla Pivotes'!$AO$3:$AO$4</c:f>
              <c:strCache>
                <c:ptCount val="1"/>
                <c:pt idx="0">
                  <c:v>(en blanco)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'Tabla Pivotes'!$AL$5:$AL$21</c:f>
              <c:multiLvlStrCache>
                <c:ptCount val="14"/>
                <c:lvl>
                  <c:pt idx="1">
                    <c:v>Jan</c:v>
                  </c:pt>
                  <c:pt idx="2">
                    <c:v>Mar</c:v>
                  </c:pt>
                  <c:pt idx="3">
                    <c:v>May</c:v>
                  </c:pt>
                  <c:pt idx="4">
                    <c:v>Jun</c:v>
                  </c:pt>
                  <c:pt idx="5">
                    <c:v>Jul</c:v>
                  </c:pt>
                  <c:pt idx="6">
                    <c:v>Aug</c:v>
                  </c:pt>
                  <c:pt idx="7">
                    <c:v>Sep</c:v>
                  </c:pt>
                  <c:pt idx="8">
                    <c:v>Oct</c:v>
                  </c:pt>
                  <c:pt idx="9">
                    <c:v>Nov</c:v>
                  </c:pt>
                  <c:pt idx="10">
                    <c:v>Dec</c:v>
                  </c:pt>
                  <c:pt idx="11">
                    <c:v>Jan</c:v>
                  </c:pt>
                  <c:pt idx="12">
                    <c:v>Feb</c:v>
                  </c:pt>
                  <c:pt idx="13">
                    <c:v>Mar</c:v>
                  </c:pt>
                </c:lvl>
                <c:lvl>
                  <c:pt idx="0">
                    <c:v>&lt;1/2/2023</c:v>
                  </c:pt>
                  <c:pt idx="1">
                    <c:v>2023</c:v>
                  </c:pt>
                  <c:pt idx="11">
                    <c:v>2024</c:v>
                  </c:pt>
                </c:lvl>
              </c:multiLvlStrCache>
            </c:multiLvlStrRef>
          </c:cat>
          <c:val>
            <c:numRef>
              <c:f>'Tabla Pivotes'!$AO$5:$AO$21</c:f>
              <c:numCache>
                <c:formatCode>_("$"* #,##0.00_);_("$"* \(#,##0.00\);_("$"* "-"??_);_(@_)</c:formatCode>
                <c:ptCount val="14"/>
              </c:numCache>
            </c:numRef>
          </c:val>
          <c:extLst>
            <c:ext xmlns:c16="http://schemas.microsoft.com/office/drawing/2014/chart" uri="{C3380CC4-5D6E-409C-BE32-E72D297353CC}">
              <c16:uniqueId val="{00000006-6190-4246-A862-50A7E62863BE}"/>
            </c:ext>
          </c:extLst>
        </c:ser>
        <c:dLbls>
          <c:dLblPos val="outEnd"/>
          <c:showLegendKey val="0"/>
          <c:showVal val="1"/>
          <c:showCatName val="0"/>
          <c:showSerName val="0"/>
          <c:showPercent val="0"/>
          <c:showBubbleSize val="0"/>
        </c:dLbls>
        <c:gapWidth val="219"/>
        <c:overlap val="77"/>
        <c:axId val="735840000"/>
        <c:axId val="329932192"/>
      </c:barChart>
      <c:catAx>
        <c:axId val="73584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329932192"/>
        <c:crosses val="autoZero"/>
        <c:auto val="1"/>
        <c:lblAlgn val="ctr"/>
        <c:lblOffset val="100"/>
        <c:noMultiLvlLbl val="0"/>
      </c:catAx>
      <c:valAx>
        <c:axId val="329932192"/>
        <c:scaling>
          <c:orientation val="minMax"/>
        </c:scaling>
        <c:delete val="1"/>
        <c:axPos val="l"/>
        <c:numFmt formatCode="_(&quot;$&quot;* #,##0.00_);_(&quot;$&quot;* \(#,##0.00\);_(&quot;$&quot;* &quot;-&quot;??_);_(@_)" sourceLinked="1"/>
        <c:majorTickMark val="none"/>
        <c:minorTickMark val="none"/>
        <c:tickLblPos val="nextTo"/>
        <c:crossAx val="73584000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pivotSource>
    <c:name>[iBtest LLC-Overall Results.xlsx]Sheet3!PivotTable1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Sheet3!$A$4:$A$19</c:f>
              <c:strCache>
                <c:ptCount val="15"/>
                <c:pt idx="0">
                  <c:v>Creston</c:v>
                </c:pt>
                <c:pt idx="1">
                  <c:v>Jabil ESG</c:v>
                </c:pt>
                <c:pt idx="2">
                  <c:v>Borgwarner Rex</c:v>
                </c:pt>
                <c:pt idx="3">
                  <c:v>Whoop</c:v>
                </c:pt>
                <c:pt idx="4">
                  <c:v>BCS AIS Querétaro</c:v>
                </c:pt>
                <c:pt idx="5">
                  <c:v>APTIV</c:v>
                </c:pt>
                <c:pt idx="6">
                  <c:v>iRhythm</c:v>
                </c:pt>
                <c:pt idx="7">
                  <c:v>Neptune</c:v>
                </c:pt>
                <c:pt idx="8">
                  <c:v>Vitesco</c:v>
                </c:pt>
                <c:pt idx="9">
                  <c:v>Atom Power</c:v>
                </c:pt>
                <c:pt idx="10">
                  <c:v>Flex CA</c:v>
                </c:pt>
                <c:pt idx="11">
                  <c:v>F5 Networks, Inc</c:v>
                </c:pt>
                <c:pt idx="12">
                  <c:v>Joule</c:v>
                </c:pt>
                <c:pt idx="13">
                  <c:v>Resideo</c:v>
                </c:pt>
                <c:pt idx="14">
                  <c:v>(en blanco)</c:v>
                </c:pt>
              </c:strCache>
            </c:strRef>
          </c:cat>
          <c:val>
            <c:numRef>
              <c:f>Sheet3!$B$4:$B$19</c:f>
              <c:numCache>
                <c:formatCode>"$"#,##0.00</c:formatCode>
                <c:ptCount val="15"/>
                <c:pt idx="0">
                  <c:v>552179.84</c:v>
                </c:pt>
                <c:pt idx="1">
                  <c:v>151548.69</c:v>
                </c:pt>
                <c:pt idx="2">
                  <c:v>148116.96</c:v>
                </c:pt>
                <c:pt idx="3">
                  <c:v>144380.82</c:v>
                </c:pt>
                <c:pt idx="4">
                  <c:v>129479.33000000002</c:v>
                </c:pt>
                <c:pt idx="5">
                  <c:v>121520.72</c:v>
                </c:pt>
                <c:pt idx="6">
                  <c:v>117000.87</c:v>
                </c:pt>
                <c:pt idx="7">
                  <c:v>34794.11</c:v>
                </c:pt>
                <c:pt idx="8">
                  <c:v>27908.32</c:v>
                </c:pt>
                <c:pt idx="9">
                  <c:v>24594.22</c:v>
                </c:pt>
                <c:pt idx="10">
                  <c:v>14104.18</c:v>
                </c:pt>
                <c:pt idx="11">
                  <c:v>13007.8</c:v>
                </c:pt>
                <c:pt idx="12">
                  <c:v>9747.4699999999993</c:v>
                </c:pt>
                <c:pt idx="13">
                  <c:v>8600</c:v>
                </c:pt>
              </c:numCache>
            </c:numRef>
          </c:val>
          <c:extLst>
            <c:ext xmlns:c16="http://schemas.microsoft.com/office/drawing/2014/chart" uri="{C3380CC4-5D6E-409C-BE32-E72D297353CC}">
              <c16:uniqueId val="{00000000-9114-490C-A5ED-7608041761FB}"/>
            </c:ext>
          </c:extLst>
        </c:ser>
        <c:dLbls>
          <c:showLegendKey val="0"/>
          <c:showVal val="0"/>
          <c:showCatName val="0"/>
          <c:showSerName val="0"/>
          <c:showPercent val="0"/>
          <c:showBubbleSize val="0"/>
        </c:dLbls>
        <c:gapWidth val="219"/>
        <c:overlap val="-27"/>
        <c:axId val="1257680159"/>
        <c:axId val="1303702383"/>
      </c:barChart>
      <c:catAx>
        <c:axId val="125768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702383"/>
        <c:crosses val="autoZero"/>
        <c:auto val="1"/>
        <c:lblAlgn val="ctr"/>
        <c:lblOffset val="100"/>
        <c:noMultiLvlLbl val="0"/>
      </c:catAx>
      <c:valAx>
        <c:axId val="13037023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680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40</xdr:col>
      <xdr:colOff>154802</xdr:colOff>
      <xdr:row>0</xdr:row>
      <xdr:rowOff>0</xdr:rowOff>
    </xdr:from>
    <xdr:to>
      <xdr:col>42</xdr:col>
      <xdr:colOff>170591</xdr:colOff>
      <xdr:row>0</xdr:row>
      <xdr:rowOff>751930</xdr:rowOff>
    </xdr:to>
    <xdr:pic>
      <xdr:nvPicPr>
        <xdr:cNvPr id="3" name="Picture 2" descr="iBtest">
          <a:extLst>
            <a:ext uri="{FF2B5EF4-FFF2-40B4-BE49-F238E27FC236}">
              <a16:creationId xmlns:a16="http://schemas.microsoft.com/office/drawing/2014/main" id="{A5DC3D8B-EC1A-F441-8B03-E96BABFCE8DC}"/>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28998"/>
        <a:stretch/>
      </xdr:blipFill>
      <xdr:spPr bwMode="auto">
        <a:xfrm>
          <a:off x="35571237" y="0"/>
          <a:ext cx="2139729" cy="7410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9</xdr:col>
      <xdr:colOff>415782</xdr:colOff>
      <xdr:row>0</xdr:row>
      <xdr:rowOff>132246</xdr:rowOff>
    </xdr:from>
    <xdr:to>
      <xdr:col>14</xdr:col>
      <xdr:colOff>47696</xdr:colOff>
      <xdr:row>2</xdr:row>
      <xdr:rowOff>1712</xdr:rowOff>
    </xdr:to>
    <mc:AlternateContent xmlns:mc="http://schemas.openxmlformats.org/markup-compatibility/2006" xmlns:sle15="http://schemas.microsoft.com/office/drawing/2012/slicer">
      <mc:Choice Requires="sle15">
        <xdr:graphicFrame macro="">
          <xdr:nvGraphicFramePr>
            <xdr:cNvPr id="4" name="Customer 2">
              <a:extLst>
                <a:ext uri="{FF2B5EF4-FFF2-40B4-BE49-F238E27FC236}">
                  <a16:creationId xmlns:a16="http://schemas.microsoft.com/office/drawing/2014/main" id="{38C2DC3F-3BFC-D091-49E8-BFA853C605D3}"/>
                </a:ext>
              </a:extLst>
            </xdr:cNvPr>
            <xdr:cNvGraphicFramePr/>
          </xdr:nvGraphicFramePr>
          <xdr:xfrm>
            <a:off x="0" y="0"/>
            <a:ext cx="0" cy="0"/>
          </xdr:xfrm>
          <a:graphic>
            <a:graphicData uri="http://schemas.microsoft.com/office/drawing/2010/slicer">
              <sle:slicer xmlns:sle="http://schemas.microsoft.com/office/drawing/2010/slicer" name="Customer 2"/>
            </a:graphicData>
          </a:graphic>
        </xdr:graphicFrame>
      </mc:Choice>
      <mc:Fallback xmlns="">
        <xdr:sp macro="" textlink="">
          <xdr:nvSpPr>
            <xdr:cNvPr id="0" name=""/>
            <xdr:cNvSpPr>
              <a:spLocks noTextEdit="1"/>
            </xdr:cNvSpPr>
          </xdr:nvSpPr>
          <xdr:spPr>
            <a:xfrm>
              <a:off x="6789610" y="148590"/>
              <a:ext cx="3164206" cy="1184910"/>
            </a:xfrm>
            <a:prstGeom prst="rect">
              <a:avLst/>
            </a:prstGeom>
            <a:solidFill>
              <a:prstClr val="white"/>
            </a:solidFill>
            <a:ln w="1">
              <a:solidFill>
                <a:prstClr val="green"/>
              </a:solidFill>
            </a:ln>
          </xdr:spPr>
          <xdr:txBody>
            <a:bodyPr vertOverflow="clip" horzOverflow="clip"/>
            <a:lstStyle/>
            <a:p>
              <a:r>
                <a:rPr lang="es-MX"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229415</xdr:colOff>
      <xdr:row>0</xdr:row>
      <xdr:rowOff>132246</xdr:rowOff>
    </xdr:from>
    <xdr:to>
      <xdr:col>9</xdr:col>
      <xdr:colOff>225908</xdr:colOff>
      <xdr:row>2</xdr:row>
      <xdr:rowOff>1712</xdr:rowOff>
    </xdr:to>
    <mc:AlternateContent xmlns:mc="http://schemas.openxmlformats.org/markup-compatibility/2006" xmlns:sle15="http://schemas.microsoft.com/office/drawing/2012/slicer">
      <mc:Choice Requires="sle15">
        <xdr:graphicFrame macro="">
          <xdr:nvGraphicFramePr>
            <xdr:cNvPr id="8" name="Month">
              <a:extLst>
                <a:ext uri="{FF2B5EF4-FFF2-40B4-BE49-F238E27FC236}">
                  <a16:creationId xmlns:a16="http://schemas.microsoft.com/office/drawing/2014/main" id="{38FFCA81-5543-EA2A-041C-12F7F56CEEA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076573" y="148590"/>
              <a:ext cx="3531872" cy="1184910"/>
            </a:xfrm>
            <a:prstGeom prst="rect">
              <a:avLst/>
            </a:prstGeom>
            <a:solidFill>
              <a:prstClr val="white"/>
            </a:solidFill>
            <a:ln w="1">
              <a:solidFill>
                <a:prstClr val="green"/>
              </a:solidFill>
            </a:ln>
          </xdr:spPr>
          <xdr:txBody>
            <a:bodyPr vertOverflow="clip" horzOverflow="clip"/>
            <a:lstStyle/>
            <a:p>
              <a:r>
                <a:rPr lang="es-MX"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29308</xdr:colOff>
      <xdr:row>0</xdr:row>
      <xdr:rowOff>84553</xdr:rowOff>
    </xdr:from>
    <xdr:to>
      <xdr:col>2</xdr:col>
      <xdr:colOff>1221782</xdr:colOff>
      <xdr:row>0</xdr:row>
      <xdr:rowOff>1000858</xdr:rowOff>
    </xdr:to>
    <xdr:pic>
      <xdr:nvPicPr>
        <xdr:cNvPr id="10" name="Picture 9" descr="iBtest">
          <a:extLst>
            <a:ext uri="{FF2B5EF4-FFF2-40B4-BE49-F238E27FC236}">
              <a16:creationId xmlns:a16="http://schemas.microsoft.com/office/drawing/2014/main" id="{6C9377F4-BB84-4CDD-AEB4-7EBD64A6A874}"/>
            </a:ext>
            <a:ext uri="{147F2762-F138-4A5C-976F-8EAC2B608ADB}">
              <a16:predDERef xmlns:a16="http://schemas.microsoft.com/office/drawing/2014/main" pred="{38FFCA81-5543-EA2A-041C-12F7F56CEEAD}"/>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28998"/>
        <a:stretch/>
      </xdr:blipFill>
      <xdr:spPr bwMode="auto">
        <a:xfrm>
          <a:off x="29308" y="84553"/>
          <a:ext cx="2606570" cy="9163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14</xdr:col>
      <xdr:colOff>201475</xdr:colOff>
      <xdr:row>0</xdr:row>
      <xdr:rowOff>152400</xdr:rowOff>
    </xdr:from>
    <xdr:to>
      <xdr:col>32</xdr:col>
      <xdr:colOff>523749</xdr:colOff>
      <xdr:row>2</xdr:row>
      <xdr:rowOff>1167</xdr:rowOff>
    </xdr:to>
    <mc:AlternateContent xmlns:mc="http://schemas.openxmlformats.org/markup-compatibility/2006" xmlns:sle15="http://schemas.microsoft.com/office/drawing/2012/slicer">
      <mc:Choice Requires="sle15">
        <xdr:graphicFrame macro="">
          <xdr:nvGraphicFramePr>
            <xdr:cNvPr id="11" name="Main BU 1">
              <a:extLst>
                <a:ext uri="{FF2B5EF4-FFF2-40B4-BE49-F238E27FC236}">
                  <a16:creationId xmlns:a16="http://schemas.microsoft.com/office/drawing/2014/main" id="{B8E42612-3AC4-0930-0A8D-36DE7487FC3D}"/>
                </a:ext>
              </a:extLst>
            </xdr:cNvPr>
            <xdr:cNvGraphicFramePr/>
          </xdr:nvGraphicFramePr>
          <xdr:xfrm>
            <a:off x="0" y="0"/>
            <a:ext cx="0" cy="0"/>
          </xdr:xfrm>
          <a:graphic>
            <a:graphicData uri="http://schemas.microsoft.com/office/drawing/2010/slicer">
              <sle:slicer xmlns:sle="http://schemas.microsoft.com/office/drawing/2010/slicer" name="Main BU 1"/>
            </a:graphicData>
          </a:graphic>
        </xdr:graphicFrame>
      </mc:Choice>
      <mc:Fallback xmlns="">
        <xdr:sp macro="" textlink="">
          <xdr:nvSpPr>
            <xdr:cNvPr id="0" name=""/>
            <xdr:cNvSpPr>
              <a:spLocks noTextEdit="1"/>
            </xdr:cNvSpPr>
          </xdr:nvSpPr>
          <xdr:spPr>
            <a:xfrm>
              <a:off x="10127361" y="152400"/>
              <a:ext cx="1778317" cy="1186815"/>
            </a:xfrm>
            <a:prstGeom prst="rect">
              <a:avLst/>
            </a:prstGeom>
            <a:solidFill>
              <a:prstClr val="white"/>
            </a:solidFill>
            <a:ln w="1">
              <a:solidFill>
                <a:prstClr val="green"/>
              </a:solidFill>
            </a:ln>
          </xdr:spPr>
          <xdr:txBody>
            <a:bodyPr vertOverflow="clip" horzOverflow="clip"/>
            <a:lstStyle/>
            <a:p>
              <a:r>
                <a:rPr lang="es-MX"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32</xdr:col>
      <xdr:colOff>561923</xdr:colOff>
      <xdr:row>0</xdr:row>
      <xdr:rowOff>143269</xdr:rowOff>
    </xdr:from>
    <xdr:to>
      <xdr:col>35</xdr:col>
      <xdr:colOff>315868</xdr:colOff>
      <xdr:row>1</xdr:row>
      <xdr:rowOff>134017</xdr:rowOff>
    </xdr:to>
    <mc:AlternateContent xmlns:mc="http://schemas.openxmlformats.org/markup-compatibility/2006" xmlns:sle15="http://schemas.microsoft.com/office/drawing/2012/slicer">
      <mc:Choice Requires="sle15">
        <xdr:graphicFrame macro="">
          <xdr:nvGraphicFramePr>
            <xdr:cNvPr id="12" name="Status">
              <a:extLst>
                <a:ext uri="{FF2B5EF4-FFF2-40B4-BE49-F238E27FC236}">
                  <a16:creationId xmlns:a16="http://schemas.microsoft.com/office/drawing/2014/main" id="{94DD548F-B504-1A15-67FC-A54475A43FA7}"/>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1933996" y="129954"/>
              <a:ext cx="1775627" cy="1165032"/>
            </a:xfrm>
            <a:prstGeom prst="rect">
              <a:avLst/>
            </a:prstGeom>
            <a:solidFill>
              <a:prstClr val="white"/>
            </a:solidFill>
            <a:ln w="1">
              <a:solidFill>
                <a:prstClr val="green"/>
              </a:solidFill>
            </a:ln>
          </xdr:spPr>
          <xdr:txBody>
            <a:bodyPr vertOverflow="clip" horzOverflow="clip"/>
            <a:lstStyle/>
            <a:p>
              <a:r>
                <a:rPr lang="es-MX"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23085</xdr:colOff>
      <xdr:row>7</xdr:row>
      <xdr:rowOff>222213</xdr:rowOff>
    </xdr:from>
    <xdr:to>
      <xdr:col>6</xdr:col>
      <xdr:colOff>136600</xdr:colOff>
      <xdr:row>16</xdr:row>
      <xdr:rowOff>3026</xdr:rowOff>
    </xdr:to>
    <mc:AlternateContent xmlns:mc="http://schemas.openxmlformats.org/markup-compatibility/2006" xmlns:a14="http://schemas.microsoft.com/office/drawing/2010/main">
      <mc:Choice Requires="a14">
        <xdr:graphicFrame macro="">
          <xdr:nvGraphicFramePr>
            <xdr:cNvPr id="5" name="Customer">
              <a:extLst>
                <a:ext uri="{FF2B5EF4-FFF2-40B4-BE49-F238E27FC236}">
                  <a16:creationId xmlns:a16="http://schemas.microsoft.com/office/drawing/2014/main" id="{ADB6AFFB-8CC5-4E44-AB72-D23B92C10B97}"/>
                </a:ext>
              </a:extLst>
            </xdr:cNvP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mlns="">
        <xdr:sp macro="" textlink="">
          <xdr:nvSpPr>
            <xdr:cNvPr id="0" name=""/>
            <xdr:cNvSpPr>
              <a:spLocks noTextEdit="1"/>
            </xdr:cNvSpPr>
          </xdr:nvSpPr>
          <xdr:spPr>
            <a:xfrm>
              <a:off x="624393" y="2842484"/>
              <a:ext cx="3139103" cy="1960694"/>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58607</xdr:colOff>
      <xdr:row>2</xdr:row>
      <xdr:rowOff>151502</xdr:rowOff>
    </xdr:from>
    <xdr:to>
      <xdr:col>3</xdr:col>
      <xdr:colOff>590102</xdr:colOff>
      <xdr:row>7</xdr:row>
      <xdr:rowOff>173467</xdr:rowOff>
    </xdr:to>
    <mc:AlternateContent xmlns:mc="http://schemas.openxmlformats.org/markup-compatibility/2006" xmlns:a14="http://schemas.microsoft.com/office/drawing/2010/main">
      <mc:Choice Requires="a14">
        <xdr:graphicFrame macro="">
          <xdr:nvGraphicFramePr>
            <xdr:cNvPr id="7" name="Main BU">
              <a:extLst>
                <a:ext uri="{FF2B5EF4-FFF2-40B4-BE49-F238E27FC236}">
                  <a16:creationId xmlns:a16="http://schemas.microsoft.com/office/drawing/2014/main" id="{54A4CCDE-6A71-40FA-BEBE-542E2C6B605D}"/>
                </a:ext>
              </a:extLst>
            </xdr:cNvPr>
            <xdr:cNvGraphicFramePr/>
          </xdr:nvGraphicFramePr>
          <xdr:xfrm>
            <a:off x="0" y="0"/>
            <a:ext cx="0" cy="0"/>
          </xdr:xfrm>
          <a:graphic>
            <a:graphicData uri="http://schemas.microsoft.com/office/drawing/2010/slicer">
              <sle:slicer xmlns:sle="http://schemas.microsoft.com/office/drawing/2010/slicer" name="Main BU"/>
            </a:graphicData>
          </a:graphic>
        </xdr:graphicFrame>
      </mc:Choice>
      <mc:Fallback xmlns="">
        <xdr:sp macro="" textlink="">
          <xdr:nvSpPr>
            <xdr:cNvPr id="0" name=""/>
            <xdr:cNvSpPr>
              <a:spLocks noTextEdit="1"/>
            </xdr:cNvSpPr>
          </xdr:nvSpPr>
          <xdr:spPr>
            <a:xfrm>
              <a:off x="659915" y="1260884"/>
              <a:ext cx="1749350" cy="1454749"/>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7845</xdr:colOff>
      <xdr:row>0</xdr:row>
      <xdr:rowOff>173979</xdr:rowOff>
    </xdr:from>
    <xdr:to>
      <xdr:col>4</xdr:col>
      <xdr:colOff>509507</xdr:colOff>
      <xdr:row>1</xdr:row>
      <xdr:rowOff>834950</xdr:rowOff>
    </xdr:to>
    <xdr:pic>
      <xdr:nvPicPr>
        <xdr:cNvPr id="8" name="Picture 7" descr="iBtest">
          <a:extLst>
            <a:ext uri="{FF2B5EF4-FFF2-40B4-BE49-F238E27FC236}">
              <a16:creationId xmlns:a16="http://schemas.microsoft.com/office/drawing/2014/main" id="{CF6BF92C-CB7D-4339-93CC-C86E3AEF67CB}"/>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28998"/>
        <a:stretch/>
      </xdr:blipFill>
      <xdr:spPr bwMode="auto">
        <a:xfrm>
          <a:off x="612963" y="173979"/>
          <a:ext cx="2317015" cy="8402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77095</xdr:colOff>
      <xdr:row>2</xdr:row>
      <xdr:rowOff>161028</xdr:rowOff>
    </xdr:from>
    <xdr:to>
      <xdr:col>6</xdr:col>
      <xdr:colOff>172122</xdr:colOff>
      <xdr:row>7</xdr:row>
      <xdr:rowOff>175148</xdr:rowOff>
    </xdr:to>
    <mc:AlternateContent xmlns:mc="http://schemas.openxmlformats.org/markup-compatibility/2006" xmlns:a14="http://schemas.microsoft.com/office/drawing/2010/main">
      <mc:Choice Requires="a14">
        <xdr:graphicFrame macro="">
          <xdr:nvGraphicFramePr>
            <xdr:cNvPr id="10" name="Status f/Invoice">
              <a:extLst>
                <a:ext uri="{FF2B5EF4-FFF2-40B4-BE49-F238E27FC236}">
                  <a16:creationId xmlns:a16="http://schemas.microsoft.com/office/drawing/2014/main" id="{0C12E4E3-3C70-25A0-F694-0AE93EF8E41D}"/>
                </a:ext>
              </a:extLst>
            </xdr:cNvPr>
            <xdr:cNvGraphicFramePr/>
          </xdr:nvGraphicFramePr>
          <xdr:xfrm>
            <a:off x="0" y="0"/>
            <a:ext cx="0" cy="0"/>
          </xdr:xfrm>
          <a:graphic>
            <a:graphicData uri="http://schemas.microsoft.com/office/drawing/2010/slicer">
              <sle:slicer xmlns:sle="http://schemas.microsoft.com/office/drawing/2010/slicer" name="Status f/Invoice"/>
            </a:graphicData>
          </a:graphic>
        </xdr:graphicFrame>
      </mc:Choice>
      <mc:Fallback xmlns="">
        <xdr:sp macro="" textlink="">
          <xdr:nvSpPr>
            <xdr:cNvPr id="0" name=""/>
            <xdr:cNvSpPr>
              <a:spLocks noTextEdit="1"/>
            </xdr:cNvSpPr>
          </xdr:nvSpPr>
          <xdr:spPr>
            <a:xfrm>
              <a:off x="2497566" y="1272315"/>
              <a:ext cx="1301452" cy="1446904"/>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530484</xdr:colOff>
      <xdr:row>2</xdr:row>
      <xdr:rowOff>384584</xdr:rowOff>
    </xdr:from>
    <xdr:to>
      <xdr:col>21</xdr:col>
      <xdr:colOff>132788</xdr:colOff>
      <xdr:row>14</xdr:row>
      <xdr:rowOff>59835</xdr:rowOff>
    </xdr:to>
    <xdr:grpSp>
      <xdr:nvGrpSpPr>
        <xdr:cNvPr id="16" name="Group 15">
          <a:extLst>
            <a:ext uri="{FF2B5EF4-FFF2-40B4-BE49-F238E27FC236}">
              <a16:creationId xmlns:a16="http://schemas.microsoft.com/office/drawing/2014/main" id="{F427E33F-4A3E-DBD8-BC0C-00EEA6404CD3}"/>
            </a:ext>
          </a:extLst>
        </xdr:cNvPr>
        <xdr:cNvGrpSpPr/>
      </xdr:nvGrpSpPr>
      <xdr:grpSpPr>
        <a:xfrm>
          <a:off x="6016884" y="1499009"/>
          <a:ext cx="6917504" cy="2923276"/>
          <a:chOff x="6088602" y="1170776"/>
          <a:chExt cx="6859906" cy="2603701"/>
        </a:xfrm>
      </xdr:grpSpPr>
      <xdr:graphicFrame macro="">
        <xdr:nvGraphicFramePr>
          <xdr:cNvPr id="14" name="Chart 13">
            <a:extLst>
              <a:ext uri="{FF2B5EF4-FFF2-40B4-BE49-F238E27FC236}">
                <a16:creationId xmlns:a16="http://schemas.microsoft.com/office/drawing/2014/main" id="{9F485800-C54B-4203-8499-4A69D5852BC1}"/>
              </a:ext>
            </a:extLst>
          </xdr:cNvPr>
          <xdr:cNvGraphicFramePr>
            <a:graphicFrameLocks/>
          </xdr:cNvGraphicFramePr>
        </xdr:nvGraphicFramePr>
        <xdr:xfrm>
          <a:off x="6088603" y="1585968"/>
          <a:ext cx="6859905" cy="2188509"/>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15" name="Rectangle: Rounded Corners 14">
            <a:extLst>
              <a:ext uri="{FF2B5EF4-FFF2-40B4-BE49-F238E27FC236}">
                <a16:creationId xmlns:a16="http://schemas.microsoft.com/office/drawing/2014/main" id="{93C0E853-0D8F-2C5D-7B34-F02F810BDE1A}"/>
              </a:ext>
            </a:extLst>
          </xdr:cNvPr>
          <xdr:cNvSpPr/>
        </xdr:nvSpPr>
        <xdr:spPr>
          <a:xfrm>
            <a:off x="6088602" y="1170776"/>
            <a:ext cx="6852295" cy="377887"/>
          </a:xfrm>
          <a:prstGeom prst="roundRect">
            <a:avLst/>
          </a:prstGeom>
          <a:solidFill>
            <a:srgbClr val="0099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800" b="1">
                <a:latin typeface="Poppins" panose="00000500000000000000" pitchFamily="2" charset="0"/>
                <a:cs typeface="Poppins" panose="00000500000000000000" pitchFamily="2" charset="0"/>
              </a:rPr>
              <a:t>YTD</a:t>
            </a:r>
            <a:r>
              <a:rPr lang="es-MX" sz="1800" b="1" baseline="0">
                <a:latin typeface="Poppins" panose="00000500000000000000" pitchFamily="2" charset="0"/>
                <a:cs typeface="Poppins" panose="00000500000000000000" pitchFamily="2" charset="0"/>
              </a:rPr>
              <a:t> Sales</a:t>
            </a:r>
            <a:endParaRPr lang="es-MX" sz="1800" b="1">
              <a:latin typeface="Poppins" panose="00000500000000000000" pitchFamily="2" charset="0"/>
              <a:cs typeface="Poppins" panose="00000500000000000000" pitchFamily="2" charset="0"/>
            </a:endParaRPr>
          </a:p>
        </xdr:txBody>
      </xdr:sp>
    </xdr:grpSp>
    <xdr:clientData/>
  </xdr:twoCellAnchor>
  <xdr:twoCellAnchor>
    <xdr:from>
      <xdr:col>1</xdr:col>
      <xdr:colOff>16696</xdr:colOff>
      <xdr:row>17</xdr:row>
      <xdr:rowOff>68916</xdr:rowOff>
    </xdr:from>
    <xdr:to>
      <xdr:col>9</xdr:col>
      <xdr:colOff>224005</xdr:colOff>
      <xdr:row>18</xdr:row>
      <xdr:rowOff>197679</xdr:rowOff>
    </xdr:to>
    <xdr:sp macro="" textlink="">
      <xdr:nvSpPr>
        <xdr:cNvPr id="17" name="Rectangle: Rounded Corners 16">
          <a:extLst>
            <a:ext uri="{FF2B5EF4-FFF2-40B4-BE49-F238E27FC236}">
              <a16:creationId xmlns:a16="http://schemas.microsoft.com/office/drawing/2014/main" id="{8059C25D-1523-44BA-B95F-3A749310232B}"/>
            </a:ext>
          </a:extLst>
        </xdr:cNvPr>
        <xdr:cNvSpPr/>
      </xdr:nvSpPr>
      <xdr:spPr>
        <a:xfrm>
          <a:off x="621814" y="5156387"/>
          <a:ext cx="5048250" cy="375292"/>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800" b="1">
              <a:latin typeface="Poppins" panose="00000500000000000000" pitchFamily="2" charset="0"/>
              <a:cs typeface="Poppins" panose="00000500000000000000" pitchFamily="2" charset="0"/>
            </a:rPr>
            <a:t>YTD</a:t>
          </a:r>
          <a:r>
            <a:rPr lang="es-MX" sz="1800" b="1" baseline="0">
              <a:latin typeface="Poppins" panose="00000500000000000000" pitchFamily="2" charset="0"/>
              <a:cs typeface="Poppins" panose="00000500000000000000" pitchFamily="2" charset="0"/>
            </a:rPr>
            <a:t> Sales per BU</a:t>
          </a:r>
          <a:endParaRPr lang="es-MX" sz="1800" b="1">
            <a:latin typeface="Poppins" panose="00000500000000000000" pitchFamily="2" charset="0"/>
            <a:cs typeface="Poppins" panose="00000500000000000000" pitchFamily="2" charset="0"/>
          </a:endParaRPr>
        </a:p>
      </xdr:txBody>
    </xdr:sp>
    <xdr:clientData/>
  </xdr:twoCellAnchor>
  <xdr:twoCellAnchor>
    <xdr:from>
      <xdr:col>9</xdr:col>
      <xdr:colOff>481853</xdr:colOff>
      <xdr:row>16</xdr:row>
      <xdr:rowOff>1681</xdr:rowOff>
    </xdr:from>
    <xdr:to>
      <xdr:col>21</xdr:col>
      <xdr:colOff>158787</xdr:colOff>
      <xdr:row>36</xdr:row>
      <xdr:rowOff>86062</xdr:rowOff>
    </xdr:to>
    <xdr:grpSp>
      <xdr:nvGrpSpPr>
        <xdr:cNvPr id="20" name="Group 19">
          <a:extLst>
            <a:ext uri="{FF2B5EF4-FFF2-40B4-BE49-F238E27FC236}">
              <a16:creationId xmlns:a16="http://schemas.microsoft.com/office/drawing/2014/main" id="{069D3C41-B36E-089E-0463-A4E6474E1ED9}"/>
            </a:ext>
          </a:extLst>
        </xdr:cNvPr>
        <xdr:cNvGrpSpPr/>
      </xdr:nvGrpSpPr>
      <xdr:grpSpPr>
        <a:xfrm>
          <a:off x="5968253" y="4859431"/>
          <a:ext cx="6992134" cy="5037381"/>
          <a:chOff x="6109785" y="4530538"/>
          <a:chExt cx="6395085" cy="4762053"/>
        </a:xfrm>
      </xdr:grpSpPr>
      <xdr:graphicFrame macro="">
        <xdr:nvGraphicFramePr>
          <xdr:cNvPr id="9" name="Invoicing Per Month">
            <a:extLst>
              <a:ext uri="{FF2B5EF4-FFF2-40B4-BE49-F238E27FC236}">
                <a16:creationId xmlns:a16="http://schemas.microsoft.com/office/drawing/2014/main" id="{E05AF3EE-F840-457F-935A-583F578D8BEE}"/>
              </a:ext>
            </a:extLst>
          </xdr:cNvPr>
          <xdr:cNvGraphicFramePr>
            <a:graphicFrameLocks/>
          </xdr:cNvGraphicFramePr>
        </xdr:nvGraphicFramePr>
        <xdr:xfrm>
          <a:off x="6109785" y="4775836"/>
          <a:ext cx="6395085" cy="4516755"/>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9" name="Rectangle: Rounded Corners 18">
            <a:extLst>
              <a:ext uri="{FF2B5EF4-FFF2-40B4-BE49-F238E27FC236}">
                <a16:creationId xmlns:a16="http://schemas.microsoft.com/office/drawing/2014/main" id="{3A7C1B2F-8EF8-4FA5-96EF-BA84A886F25E}"/>
              </a:ext>
            </a:extLst>
          </xdr:cNvPr>
          <xdr:cNvSpPr/>
        </xdr:nvSpPr>
        <xdr:spPr>
          <a:xfrm>
            <a:off x="6109785" y="4530538"/>
            <a:ext cx="6395085" cy="401371"/>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800" b="1">
                <a:latin typeface="Poppins" panose="00000500000000000000" pitchFamily="2" charset="0"/>
                <a:cs typeface="Poppins" panose="00000500000000000000" pitchFamily="2" charset="0"/>
              </a:rPr>
              <a:t>Invoicing per month</a:t>
            </a:r>
          </a:p>
        </xdr:txBody>
      </xdr:sp>
    </xdr:grpSp>
    <xdr:clientData/>
  </xdr:twoCellAnchor>
  <xdr:twoCellAnchor>
    <xdr:from>
      <xdr:col>21</xdr:col>
      <xdr:colOff>597720</xdr:colOff>
      <xdr:row>2</xdr:row>
      <xdr:rowOff>164054</xdr:rowOff>
    </xdr:from>
    <xdr:to>
      <xdr:col>26</xdr:col>
      <xdr:colOff>63425</xdr:colOff>
      <xdr:row>3</xdr:row>
      <xdr:rowOff>134694</xdr:rowOff>
    </xdr:to>
    <xdr:sp macro="" textlink="">
      <xdr:nvSpPr>
        <xdr:cNvPr id="21" name="Rectangle: Rounded Corners 20">
          <a:extLst>
            <a:ext uri="{FF2B5EF4-FFF2-40B4-BE49-F238E27FC236}">
              <a16:creationId xmlns:a16="http://schemas.microsoft.com/office/drawing/2014/main" id="{903F5EFF-ED05-47A7-879E-37AB54BDC0F2}"/>
            </a:ext>
          </a:extLst>
        </xdr:cNvPr>
        <xdr:cNvSpPr/>
      </xdr:nvSpPr>
      <xdr:spPr>
        <a:xfrm>
          <a:off x="13305191" y="1273436"/>
          <a:ext cx="6704705" cy="452493"/>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800" b="1">
              <a:latin typeface="Poppins" panose="00000500000000000000" pitchFamily="2" charset="0"/>
              <a:cs typeface="Poppins" panose="00000500000000000000" pitchFamily="2" charset="0"/>
            </a:rPr>
            <a:t>Invoicing</a:t>
          </a:r>
          <a:r>
            <a:rPr lang="es-MX" sz="1800" b="1" baseline="0">
              <a:latin typeface="Poppins" panose="00000500000000000000" pitchFamily="2" charset="0"/>
              <a:cs typeface="Poppins" panose="00000500000000000000" pitchFamily="2" charset="0"/>
            </a:rPr>
            <a:t> details per Project</a:t>
          </a:r>
          <a:endParaRPr lang="es-MX" sz="1800" b="1">
            <a:latin typeface="Poppins" panose="00000500000000000000" pitchFamily="2" charset="0"/>
            <a:cs typeface="Poppins" panose="00000500000000000000" pitchFamily="2" charset="0"/>
          </a:endParaRPr>
        </a:p>
      </xdr:txBody>
    </xdr:sp>
    <xdr:clientData/>
  </xdr:twoCellAnchor>
  <xdr:twoCellAnchor editAs="oneCell">
    <xdr:from>
      <xdr:col>6</xdr:col>
      <xdr:colOff>249219</xdr:colOff>
      <xdr:row>2</xdr:row>
      <xdr:rowOff>161026</xdr:rowOff>
    </xdr:from>
    <xdr:to>
      <xdr:col>9</xdr:col>
      <xdr:colOff>264571</xdr:colOff>
      <xdr:row>16</xdr:row>
      <xdr:rowOff>1120</xdr:rowOff>
    </xdr:to>
    <mc:AlternateContent xmlns:mc="http://schemas.openxmlformats.org/markup-compatibility/2006" xmlns:a14="http://schemas.microsoft.com/office/drawing/2010/main">
      <mc:Choice Requires="a14">
        <xdr:graphicFrame macro="">
          <xdr:nvGraphicFramePr>
            <xdr:cNvPr id="24" name="Months (Invoice Date)">
              <a:extLst>
                <a:ext uri="{FF2B5EF4-FFF2-40B4-BE49-F238E27FC236}">
                  <a16:creationId xmlns:a16="http://schemas.microsoft.com/office/drawing/2014/main" id="{7534472B-CB3B-03A6-76C5-0000B949C66A}"/>
                </a:ext>
              </a:extLst>
            </xdr:cNvPr>
            <xdr:cNvGraphicFramePr/>
          </xdr:nvGraphicFramePr>
          <xdr:xfrm>
            <a:off x="0" y="0"/>
            <a:ext cx="0" cy="0"/>
          </xdr:xfrm>
          <a:graphic>
            <a:graphicData uri="http://schemas.microsoft.com/office/drawing/2010/slicer">
              <sle:slicer xmlns:sle="http://schemas.microsoft.com/office/drawing/2010/slicer" name="Months (Invoice Date)"/>
            </a:graphicData>
          </a:graphic>
        </xdr:graphicFrame>
      </mc:Choice>
      <mc:Fallback xmlns="">
        <xdr:sp macro="" textlink="">
          <xdr:nvSpPr>
            <xdr:cNvPr id="0" name=""/>
            <xdr:cNvSpPr>
              <a:spLocks noTextEdit="1"/>
            </xdr:cNvSpPr>
          </xdr:nvSpPr>
          <xdr:spPr>
            <a:xfrm>
              <a:off x="3876115" y="1272313"/>
              <a:ext cx="1834515" cy="3324003"/>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40</xdr:col>
      <xdr:colOff>154802</xdr:colOff>
      <xdr:row>0</xdr:row>
      <xdr:rowOff>0</xdr:rowOff>
    </xdr:from>
    <xdr:to>
      <xdr:col>42</xdr:col>
      <xdr:colOff>178754</xdr:colOff>
      <xdr:row>0</xdr:row>
      <xdr:rowOff>747848</xdr:rowOff>
    </xdr:to>
    <xdr:pic>
      <xdr:nvPicPr>
        <xdr:cNvPr id="2" name="Picture 1" descr="iBtest">
          <a:extLst>
            <a:ext uri="{FF2B5EF4-FFF2-40B4-BE49-F238E27FC236}">
              <a16:creationId xmlns:a16="http://schemas.microsoft.com/office/drawing/2014/main" id="{B35B26C8-7D4C-407C-8C5F-8D6E7A066EAD}"/>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28998"/>
        <a:stretch/>
      </xdr:blipFill>
      <xdr:spPr bwMode="auto">
        <a:xfrm>
          <a:off x="24738827" y="0"/>
          <a:ext cx="2081352" cy="7478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6</xdr:col>
      <xdr:colOff>746446</xdr:colOff>
      <xdr:row>0</xdr:row>
      <xdr:rowOff>140410</xdr:rowOff>
    </xdr:from>
    <xdr:to>
      <xdr:col>7</xdr:col>
      <xdr:colOff>641191</xdr:colOff>
      <xdr:row>1</xdr:row>
      <xdr:rowOff>62573</xdr:rowOff>
    </xdr:to>
    <mc:AlternateContent xmlns:mc="http://schemas.openxmlformats.org/markup-compatibility/2006" xmlns:sle15="http://schemas.microsoft.com/office/drawing/2012/slicer">
      <mc:Choice Requires="sle15">
        <xdr:graphicFrame macro="">
          <xdr:nvGraphicFramePr>
            <xdr:cNvPr id="3" name="Customer 3">
              <a:extLst>
                <a:ext uri="{FF2B5EF4-FFF2-40B4-BE49-F238E27FC236}">
                  <a16:creationId xmlns:a16="http://schemas.microsoft.com/office/drawing/2014/main" id="{BA44BD8F-7587-4F1A-A103-20630ECD6C95}"/>
                </a:ext>
              </a:extLst>
            </xdr:cNvPr>
            <xdr:cNvGraphicFramePr/>
          </xdr:nvGraphicFramePr>
          <xdr:xfrm>
            <a:off x="0" y="0"/>
            <a:ext cx="0" cy="0"/>
          </xdr:xfrm>
          <a:graphic>
            <a:graphicData uri="http://schemas.microsoft.com/office/drawing/2010/slicer">
              <sle:slicer xmlns:sle="http://schemas.microsoft.com/office/drawing/2010/slicer" name="Customer 3"/>
            </a:graphicData>
          </a:graphic>
        </xdr:graphicFrame>
      </mc:Choice>
      <mc:Fallback xmlns="">
        <xdr:sp macro="" textlink="">
          <xdr:nvSpPr>
            <xdr:cNvPr id="0" name=""/>
            <xdr:cNvSpPr>
              <a:spLocks noTextEdit="1"/>
            </xdr:cNvSpPr>
          </xdr:nvSpPr>
          <xdr:spPr>
            <a:xfrm>
              <a:off x="6668511" y="140410"/>
              <a:ext cx="3075267" cy="118940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1626031</xdr:colOff>
      <xdr:row>0</xdr:row>
      <xdr:rowOff>140410</xdr:rowOff>
    </xdr:from>
    <xdr:to>
      <xdr:col>6</xdr:col>
      <xdr:colOff>552490</xdr:colOff>
      <xdr:row>1</xdr:row>
      <xdr:rowOff>62573</xdr:rowOff>
    </xdr:to>
    <mc:AlternateContent xmlns:mc="http://schemas.openxmlformats.org/markup-compatibility/2006" xmlns:sle15="http://schemas.microsoft.com/office/drawing/2012/slicer">
      <mc:Choice Requires="sle15">
        <xdr:graphicFrame macro="">
          <xdr:nvGraphicFramePr>
            <xdr:cNvPr id="4" name="Month 1">
              <a:extLst>
                <a:ext uri="{FF2B5EF4-FFF2-40B4-BE49-F238E27FC236}">
                  <a16:creationId xmlns:a16="http://schemas.microsoft.com/office/drawing/2014/main" id="{79E90763-A0BB-4743-AE3A-B9928224E71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3034074" y="140410"/>
              <a:ext cx="3440481" cy="118940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57150</xdr:colOff>
      <xdr:row>0</xdr:row>
      <xdr:rowOff>245745</xdr:rowOff>
    </xdr:from>
    <xdr:to>
      <xdr:col>2</xdr:col>
      <xdr:colOff>1430599</xdr:colOff>
      <xdr:row>0</xdr:row>
      <xdr:rowOff>1266825</xdr:rowOff>
    </xdr:to>
    <xdr:pic>
      <xdr:nvPicPr>
        <xdr:cNvPr id="5" name="Picture 4" descr="iBtest">
          <a:extLst>
            <a:ext uri="{FF2B5EF4-FFF2-40B4-BE49-F238E27FC236}">
              <a16:creationId xmlns:a16="http://schemas.microsoft.com/office/drawing/2014/main" id="{FF8AA761-F26B-477A-ABE8-AA030F8E3B42}"/>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28998"/>
        <a:stretch/>
      </xdr:blipFill>
      <xdr:spPr bwMode="auto">
        <a:xfrm>
          <a:off x="57150" y="245745"/>
          <a:ext cx="2783149" cy="1021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7</xdr:col>
      <xdr:colOff>793505</xdr:colOff>
      <xdr:row>0</xdr:row>
      <xdr:rowOff>152400</xdr:rowOff>
    </xdr:from>
    <xdr:to>
      <xdr:col>9</xdr:col>
      <xdr:colOff>535934</xdr:colOff>
      <xdr:row>1</xdr:row>
      <xdr:rowOff>62028</xdr:rowOff>
    </xdr:to>
    <mc:AlternateContent xmlns:mc="http://schemas.openxmlformats.org/markup-compatibility/2006" xmlns:sle15="http://schemas.microsoft.com/office/drawing/2012/slicer">
      <mc:Choice Requires="sle15">
        <xdr:graphicFrame macro="">
          <xdr:nvGraphicFramePr>
            <xdr:cNvPr id="6" name="Main BU 2">
              <a:extLst>
                <a:ext uri="{FF2B5EF4-FFF2-40B4-BE49-F238E27FC236}">
                  <a16:creationId xmlns:a16="http://schemas.microsoft.com/office/drawing/2014/main" id="{10889693-C1AC-4DEC-9E42-53535F5A94A6}"/>
                </a:ext>
              </a:extLst>
            </xdr:cNvPr>
            <xdr:cNvGraphicFramePr/>
          </xdr:nvGraphicFramePr>
          <xdr:xfrm>
            <a:off x="0" y="0"/>
            <a:ext cx="0" cy="0"/>
          </xdr:xfrm>
          <a:graphic>
            <a:graphicData uri="http://schemas.microsoft.com/office/drawing/2010/slicer">
              <sle:slicer xmlns:sle="http://schemas.microsoft.com/office/drawing/2010/slicer" name="Main BU 2"/>
            </a:graphicData>
          </a:graphic>
        </xdr:graphicFrame>
      </mc:Choice>
      <mc:Fallback xmlns="">
        <xdr:sp macro="" textlink="">
          <xdr:nvSpPr>
            <xdr:cNvPr id="0" name=""/>
            <xdr:cNvSpPr>
              <a:spLocks noTextEdit="1"/>
            </xdr:cNvSpPr>
          </xdr:nvSpPr>
          <xdr:spPr>
            <a:xfrm>
              <a:off x="9896092" y="152400"/>
              <a:ext cx="1779951" cy="117686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574108</xdr:colOff>
      <xdr:row>0</xdr:row>
      <xdr:rowOff>139187</xdr:rowOff>
    </xdr:from>
    <xdr:to>
      <xdr:col>11</xdr:col>
      <xdr:colOff>208549</xdr:colOff>
      <xdr:row>1</xdr:row>
      <xdr:rowOff>26522</xdr:rowOff>
    </xdr:to>
    <mc:AlternateContent xmlns:mc="http://schemas.openxmlformats.org/markup-compatibility/2006" xmlns:sle15="http://schemas.microsoft.com/office/drawing/2012/slicer">
      <mc:Choice Requires="sle15">
        <xdr:graphicFrame macro="">
          <xdr:nvGraphicFramePr>
            <xdr:cNvPr id="7" name="Status 1">
              <a:extLst>
                <a:ext uri="{FF2B5EF4-FFF2-40B4-BE49-F238E27FC236}">
                  <a16:creationId xmlns:a16="http://schemas.microsoft.com/office/drawing/2014/main" id="{92CA981A-8407-4DE5-B3E7-61643D7AD127}"/>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1714217" y="139187"/>
              <a:ext cx="1671962" cy="115457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17145</xdr:colOff>
      <xdr:row>1</xdr:row>
      <xdr:rowOff>144780</xdr:rowOff>
    </xdr:from>
    <xdr:to>
      <xdr:col>18</xdr:col>
      <xdr:colOff>291465</xdr:colOff>
      <xdr:row>20</xdr:row>
      <xdr:rowOff>57150</xdr:rowOff>
    </xdr:to>
    <xdr:graphicFrame macro="">
      <xdr:nvGraphicFramePr>
        <xdr:cNvPr id="3" name="Chart 2">
          <a:extLst>
            <a:ext uri="{FF2B5EF4-FFF2-40B4-BE49-F238E27FC236}">
              <a16:creationId xmlns:a16="http://schemas.microsoft.com/office/drawing/2014/main" id="{2D35BC7A-B497-4E2B-82AF-375F089672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Fernanda Flores" id="{7EA90EE7-1C5B-468B-9DF6-DAA99FFE1EA1}" userId="S::fernanda.flores@i-btest.com::e340ffda-b892-48a9-97a5-59cd93502513"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ernanda Flores" refreshedDate="45279.599643402777" createdVersion="8" refreshedVersion="8" minRefreshableVersion="3" recordCount="56" xr:uid="{905BE6F3-4F7B-458B-B790-AA9C7E75A185}">
  <cacheSource type="worksheet">
    <worksheetSource ref="G4" sheet="Data Base"/>
  </cacheSource>
  <cacheFields count="48">
    <cacheField name="Month" numFmtId="168">
      <sharedItems containsNonDate="0" containsDate="1" containsString="0" containsBlank="1" minDate="2022-12-01T00:00:00" maxDate="2023-12-24T00:00:00" count="14">
        <d v="2022-12-01T00:00:00"/>
        <d v="2023-01-23T00:00:00"/>
        <d v="2023-02-01T00:00:00"/>
        <d v="2023-03-01T00:00:00"/>
        <d v="2023-04-01T00:00:00"/>
        <d v="2023-05-01T00:00:00"/>
        <d v="2023-06-01T00:00:00"/>
        <d v="2023-07-01T00:00:00"/>
        <d v="2023-08-23T00:00:00"/>
        <d v="2023-09-23T00:00:00"/>
        <d v="2023-10-23T00:00:00"/>
        <d v="2023-11-08T00:00:00"/>
        <d v="2023-12-23T00:00:00"/>
        <m/>
      </sharedItems>
      <fieldGroup par="41"/>
    </cacheField>
    <cacheField name="Main BU" numFmtId="0">
      <sharedItems containsBlank="1" count="6">
        <s v="ICT"/>
        <s v="FCT"/>
        <s v="FIX"/>
        <s v="REPS"/>
        <s v="SW"/>
        <m/>
      </sharedItems>
    </cacheField>
    <cacheField name="PO" numFmtId="0">
      <sharedItems containsBlank="1"/>
    </cacheField>
    <cacheField name="SAPI" numFmtId="0">
      <sharedItems containsBlank="1"/>
    </cacheField>
    <cacheField name="PO a SAPI" numFmtId="0">
      <sharedItems containsBlank="1"/>
    </cacheField>
    <cacheField name="INVOICE_x000a_SAPI" numFmtId="0">
      <sharedItems containsBlank="1" containsMixedTypes="1" containsNumber="1" containsInteger="1" minValue="1631" maxValue="1936"/>
    </cacheField>
    <cacheField name="Project" numFmtId="0">
      <sharedItems containsBlank="1" count="35">
        <s v="IBTI-22051001-Shasta Patch DMB0001P"/>
        <s v="IBTI-23029001 Neptune 13392 Data"/>
        <s v="IBTI-23021000 4534705 - PA08016-1"/>
        <s v="IBTI-23021001 Enginering Hours Crestron 494969"/>
        <s v="IBTF-23054001 FCT Maverick &amp; Puffin"/>
        <s v="IBTFIX-23053001 Nvidia NX Programming Fixture"/>
        <s v="IBTI-23055001 Eaton 70C2470G01 Project- QxQ"/>
        <s v="IBTI-23021002 PA07891-14532008 Apply SOW to ISP"/>
        <s v="IBTI-23021003 4534171 PA07984-1"/>
        <s v="IBTFIX-23059001 ASM-0051 Cap Board 24 UUT"/>
        <s v="IBTI-23055002 ConMet Pascal Project"/>
        <s v="IBTI-23021004 PA07989-1 RevC &amp; PA07986-1 RevB"/>
        <s v="IBTI-23061001 Discovery ECO for PCA-0408-10"/>
        <s v="IBTI-23050001 SCCM Project- QxQ"/>
        <s v="IBTI-23050002 SWS-LH Project &amp; SWS-RH Project"/>
        <s v="IBTI-23021005 PA07906A - PA06897C MOD Rework"/>
        <s v="IBTI-23021006 Engineering Hours Creston"/>
        <s v="IBTI-23021007 4534512-PA08002-1"/>
        <s v="1.-Licencias SMH-Borgwarner REX_PO 45013958809"/>
        <s v="IBSW-23064001 Traceability Integration"/>
        <s v="IBTI-23032001 Control P_383"/>
        <s v="IBTI-23055003 Development Whirlpool Q+ HMI A26"/>
        <s v="IBTI-23065001 MPAD Project"/>
        <s v="2.-Licencias SMH-Borgwarner REX_PO 4501435032"/>
        <s v="IBTI-23021008 4534704 PA08018-1 PCB REV B"/>
        <s v="IBFIX-23021001 for HR320 Pre-test Fixture"/>
        <s v="3.-INGUN Probes Atom Power PO100243"/>
        <s v="IBTFIX-23065001 EMS27xx28xx HC Load Box Project"/>
        <s v="IBFIX-23021002 for Radiance-Aux Fixture"/>
        <s v="IBTI-23021009 4535095 - PA08040-1"/>
        <s v="IBFIX-23021003 for Radiance System Final Fixture"/>
        <m/>
        <s v="IBTI-23029001-Neptune 13392 Data" u="1"/>
        <s v="2.-Licencias SMH-Borgwarener REX_PO 4501435032" u="1"/>
        <s v="IBTI-23065001_MPAD Project" u="1"/>
      </sharedItems>
    </cacheField>
    <cacheField name="Customer" numFmtId="0">
      <sharedItems containsBlank="1" count="14">
        <s v="iRhythm"/>
        <s v="Joule"/>
        <s v="Creston"/>
        <s v="Whoop"/>
        <s v="Flex CA"/>
        <s v="Jabil ESG"/>
        <s v="Atom Power"/>
        <s v="F5 Networks, Inc"/>
        <s v="BCS AIS Querétaro"/>
        <s v="Borgwarner Rex"/>
        <s v="Resideo"/>
        <s v="APTIV"/>
        <s v="Vitesco"/>
        <m/>
      </sharedItems>
    </cacheField>
    <cacheField name="PO Amount" numFmtId="165">
      <sharedItems containsBlank="1" containsMixedTypes="1" containsNumber="1" minValue="115.11" maxValue="130044.89" count="43">
        <n v="54142.2"/>
        <s v="-"/>
        <n v="45225.97"/>
        <n v="9747.4699999999993"/>
        <n v="66207.350000000006"/>
        <n v="2200"/>
        <n v="130044.89"/>
        <n v="14104.18"/>
        <n v="2420"/>
        <n v="21388.97"/>
        <n v="2459"/>
        <n v="55245.23"/>
        <n v="20493.060000000001"/>
        <n v="28419.21"/>
        <n v="47048.77"/>
        <n v="9552.6"/>
        <n v="29266.82"/>
        <n v="68927.34"/>
        <n v="3986.05"/>
        <n v="18127.3"/>
        <n v="3455.2"/>
        <n v="2500"/>
        <n v="28359.32"/>
        <n v="8739.07"/>
        <n v="8917.93"/>
        <n v="3323.05"/>
        <n v="5418"/>
        <n v="1656"/>
        <n v="22546.1"/>
        <n v="9715"/>
        <n v="55646.1"/>
        <m/>
        <n v="17632.7"/>
        <n v="36197.14"/>
        <n v="121520.72"/>
        <n v="1666.8600000000001"/>
        <n v="48821.75"/>
        <n v="38964.870000000003"/>
        <n v="115.11"/>
        <n v="27908.32"/>
        <n v="14569.68"/>
        <n v="24342.159999999996"/>
        <n v="41637.89"/>
      </sharedItems>
    </cacheField>
    <cacheField name="Theorical Margen" numFmtId="0">
      <sharedItems containsBlank="1" containsMixedTypes="1" containsNumber="1" minValue="0" maxValue="1"/>
    </cacheField>
    <cacheField name="Quoted Rev" numFmtId="0">
      <sharedItems containsBlank="1" containsMixedTypes="1" containsNumber="1" minValue="0" maxValue="45861.63"/>
    </cacheField>
    <cacheField name="Quoted Cost" numFmtId="0">
      <sharedItems containsBlank="1" containsMixedTypes="1" containsNumber="1" minValue="0" maxValue="125355.76"/>
    </cacheField>
    <cacheField name="Total_x000a_Expense" numFmtId="165">
      <sharedItems containsBlank="1" containsMixedTypes="1" containsNumber="1" minValue="0" maxValue="125355.76"/>
    </cacheField>
    <cacheField name="Overall" numFmtId="0">
      <sharedItems containsBlank="1"/>
    </cacheField>
    <cacheField name="PROFIT" numFmtId="0">
      <sharedItems containsBlank="1" containsMixedTypes="1" containsNumber="1" minValue="0" maxValue="121520.72"/>
    </cacheField>
    <cacheField name="Margen Real" numFmtId="0">
      <sharedItems containsBlank="1" containsMixedTypes="1" containsNumber="1" minValue="0" maxValue="1"/>
    </cacheField>
    <cacheField name="Status" numFmtId="0">
      <sharedItems containsBlank="1" count="4">
        <s v="Closed"/>
        <s v="Open"/>
        <m/>
        <s v="-" u="1"/>
      </sharedItems>
    </cacheField>
    <cacheField name="Quoted Materials" numFmtId="0">
      <sharedItems containsBlank="1" containsMixedTypes="1" containsNumber="1" minValue="0" maxValue="125355.76"/>
    </cacheField>
    <cacheField name="Expensed Materials" numFmtId="0">
      <sharedItems containsBlank="1" containsMixedTypes="1" containsNumber="1" minValue="0" maxValue="125355.76"/>
    </cacheField>
    <cacheField name="% Materials" numFmtId="0">
      <sharedItems containsBlank="1" containsMixedTypes="1" containsNumber="1" minValue="0" maxValue="3.1179578115187114"/>
    </cacheField>
    <cacheField name="Quoted_x000a_Logistic" numFmtId="0">
      <sharedItems containsBlank="1" containsMixedTypes="1" containsNumber="1" minValue="0" maxValue="4670"/>
    </cacheField>
    <cacheField name="Expensed Logistic" numFmtId="0">
      <sharedItems containsBlank="1" containsMixedTypes="1" containsNumber="1" minValue="0" maxValue="3951.43"/>
    </cacheField>
    <cacheField name="%Logs" numFmtId="0">
      <sharedItems containsBlank="1" containsMixedTypes="1" containsNumber="1" minValue="0" maxValue="1.77"/>
    </cacheField>
    <cacheField name="Quoted Travel" numFmtId="0">
      <sharedItems containsBlank="1" containsMixedTypes="1" containsNumber="1" containsInteger="1" minValue="0" maxValue="5285"/>
    </cacheField>
    <cacheField name="Expensed Travel" numFmtId="165">
      <sharedItems containsBlank="1" containsMixedTypes="1" containsNumber="1" minValue="0" maxValue="5003.4399999999996"/>
    </cacheField>
    <cacheField name="% Travel" numFmtId="0">
      <sharedItems containsBlank="1" containsMixedTypes="1" containsNumber="1" minValue="0" maxValue="3.1767873015873014"/>
    </cacheField>
    <cacheField name="Labor Quoted" numFmtId="0">
      <sharedItems containsBlank="1" containsMixedTypes="1" containsNumber="1" minValue="0" maxValue="14316.5"/>
    </cacheField>
    <cacheField name="Expense Quoted" numFmtId="0">
      <sharedItems containsBlank="1" containsMixedTypes="1" containsNumber="1" minValue="0" maxValue="9229.25"/>
    </cacheField>
    <cacheField name="% Labor" numFmtId="0">
      <sharedItems containsBlank="1" containsMixedTypes="1" containsNumber="1" minValue="0.14475271411338961" maxValue="1"/>
    </cacheField>
    <cacheField name="Payment" numFmtId="0">
      <sharedItems containsBlank="1"/>
    </cacheField>
    <cacheField name="Percentage" numFmtId="0">
      <sharedItems containsString="0" containsBlank="1" containsNumber="1" minValue="1.0896970232960205E-5" maxValue="1"/>
    </cacheField>
    <cacheField name="Invoice" numFmtId="0">
      <sharedItems containsString="0" containsBlank="1" containsNumber="1" containsInteger="1" minValue="1007" maxValue="1056"/>
    </cacheField>
    <cacheField name="Status f/Invoice" numFmtId="0">
      <sharedItems containsBlank="1" count="3">
        <s v="Invoiced"/>
        <s v="Pending"/>
        <m/>
      </sharedItems>
    </cacheField>
    <cacheField name="Invoice Amount" numFmtId="165">
      <sharedItems containsString="0" containsBlank="1" containsNumber="1" minValue="0.19214300702671741" maxValue="121520.72"/>
    </cacheField>
    <cacheField name="Invoice Date" numFmtId="0">
      <sharedItems containsNonDate="0" containsDate="1" containsString="0" containsBlank="1" minDate="2023-01-02T00:00:00" maxDate="2024-03-16T00:00:00" count="45">
        <d v="2023-01-02T00:00:00"/>
        <d v="2023-07-20T00:00:00"/>
        <d v="2023-08-18T00:00:00"/>
        <d v="2023-09-27T00:00:00"/>
        <d v="2023-05-19T00:00:00"/>
        <d v="2023-03-14T00:00:00"/>
        <d v="2023-03-01T00:00:00"/>
        <d v="2024-01-30T00:00:00"/>
        <d v="2023-03-16T00:00:00"/>
        <d v="2023-05-31T00:00:00"/>
        <d v="2023-06-02T00:00:00"/>
        <d v="2023-08-14T00:00:00"/>
        <d v="2023-09-14T00:00:00"/>
        <d v="2023-09-11T00:00:00"/>
        <d v="2023-08-28T00:00:00"/>
        <d v="2023-06-28T00:00:00"/>
        <d v="2023-10-03T00:00:00"/>
        <d v="2023-10-17T00:00:00"/>
        <d v="2023-08-15T00:00:00"/>
        <d v="2023-08-25T00:00:00"/>
        <d v="2023-09-15T00:00:00"/>
        <d v="2023-09-12T00:00:00"/>
        <d v="2023-12-23T00:00:00"/>
        <d v="2023-12-06T00:00:00"/>
        <d v="2023-09-25T00:00:00"/>
        <d v="2023-12-04T00:00:00"/>
        <d v="2023-10-31T00:00:00"/>
        <d v="2024-01-20T00:00:00"/>
        <d v="2024-02-20T00:00:00"/>
        <d v="2023-11-16T00:00:00"/>
        <d v="2024-03-15T00:00:00"/>
        <d v="2023-11-22T00:00:00"/>
        <d v="2024-02-15T00:00:00"/>
        <d v="2024-02-10T00:00:00"/>
        <d v="2024-02-29T00:00:00"/>
        <m/>
        <d v="2024-01-10T00:00:00" u="1"/>
        <d v="2023-12-20T00:00:00" u="1"/>
        <d v="2023-12-15T00:00:00" u="1"/>
        <d v="2023-11-15T00:00:00" u="1"/>
        <d v="2023-12-10T00:00:00" u="1"/>
        <d v="2023-11-30T00:00:00" u="1"/>
        <d v="2023-12-29T00:00:00" u="1"/>
        <d v="2023-11-20T00:00:00" u="1"/>
        <d v="2023-11-19T00:00:00" u="1"/>
      </sharedItems>
      <fieldGroup par="44"/>
    </cacheField>
    <cacheField name="Payment Terms" numFmtId="0">
      <sharedItems containsString="0" containsBlank="1" containsNumber="1" containsInteger="1" minValue="0" maxValue="90"/>
    </cacheField>
    <cacheField name="Payment Date" numFmtId="0">
      <sharedItems containsNonDate="0" containsDate="1" containsString="0" containsBlank="1" minDate="2023-01-02T00:00:00" maxDate="2024-05-21T00:00:00"/>
    </cacheField>
    <cacheField name="Payment Status" numFmtId="0">
      <sharedItems containsBlank="1"/>
    </cacheField>
    <cacheField name="Status for payment" numFmtId="0">
      <sharedItems containsBlank="1"/>
    </cacheField>
    <cacheField name="Months (Month)" numFmtId="0" databaseField="0">
      <fieldGroup base="0">
        <rangePr groupBy="months" startDate="2022-12-01T00:00:00" endDate="2023-12-24T00:00:00"/>
        <groupItems count="14">
          <s v="&lt;12/1/2022"/>
          <s v="Jan"/>
          <s v="Feb"/>
          <s v="Mar"/>
          <s v="Apr"/>
          <s v="May"/>
          <s v="Jun"/>
          <s v="Jul"/>
          <s v="Aug"/>
          <s v="Sep"/>
          <s v="Oct"/>
          <s v="Nov"/>
          <s v="Dec"/>
          <s v="&gt;12/24/2023"/>
        </groupItems>
      </fieldGroup>
    </cacheField>
    <cacheField name="Quarters (Month)" numFmtId="0" databaseField="0">
      <fieldGroup base="0">
        <rangePr groupBy="quarters" startDate="2022-12-01T00:00:00" endDate="2023-12-24T00:00:00"/>
        <groupItems count="6">
          <s v="&lt;12/1/2022"/>
          <s v="Qtr1"/>
          <s v="Qtr2"/>
          <s v="Qtr3"/>
          <s v="Qtr4"/>
          <s v="&gt;12/24/2023"/>
        </groupItems>
      </fieldGroup>
    </cacheField>
    <cacheField name="Years (Month)" numFmtId="0" databaseField="0">
      <fieldGroup base="0">
        <rangePr groupBy="years" startDate="2022-12-01T00:00:00" endDate="2023-12-24T00:00:00"/>
        <groupItems count="4">
          <s v="&lt;12/1/2022"/>
          <s v="2022"/>
          <s v="2023"/>
          <s v="&gt;12/24/2023"/>
        </groupItems>
      </fieldGroup>
    </cacheField>
    <cacheField name="Months (Invoice Date)" numFmtId="0" databaseField="0">
      <fieldGroup base="34">
        <rangePr groupBy="months" startDate="2023-01-02T00:00:00" endDate="2024-03-16T00:00:00"/>
        <groupItems count="14">
          <s v="&lt;1/2/2023"/>
          <s v="Jan"/>
          <s v="Feb"/>
          <s v="Mar"/>
          <s v="Apr"/>
          <s v="May"/>
          <s v="Jun"/>
          <s v="Jul"/>
          <s v="Aug"/>
          <s v="Sep"/>
          <s v="Oct"/>
          <s v="Nov"/>
          <s v="Dec"/>
          <s v="&gt;3/16/2024"/>
        </groupItems>
      </fieldGroup>
    </cacheField>
    <cacheField name="Quarters (Invoice Date)" numFmtId="0" databaseField="0">
      <fieldGroup base="34">
        <rangePr groupBy="quarters" startDate="2023-01-02T00:00:00" endDate="2024-03-16T00:00:00"/>
        <groupItems count="6">
          <s v="&lt;1/2/2023"/>
          <s v="Qtr1"/>
          <s v="Qtr2"/>
          <s v="Qtr3"/>
          <s v="Qtr4"/>
          <s v="&gt;3/16/2024"/>
        </groupItems>
      </fieldGroup>
    </cacheField>
    <cacheField name="Years (Invoice Date)" numFmtId="0" databaseField="0">
      <fieldGroup base="34">
        <rangePr groupBy="years" startDate="2023-01-02T00:00:00" endDate="2024-03-16T00:00:00"/>
        <groupItems count="4">
          <s v="&lt;1/2/2023"/>
          <s v="2023"/>
          <s v="2024"/>
          <s v="&gt;3/16/2024"/>
        </groupItems>
      </fieldGroup>
    </cacheField>
    <cacheField name="Margen" numFmtId="0" formula="'Quoted Rev'/'PO Amount'" databaseField="0"/>
    <cacheField name="Margen Rea" numFmtId="0" formula=" 0" databaseField="0"/>
    <cacheField name="Real" numFmtId="0" formula=" ('Quoted Cost'-'Total_x000a_Expense'+'Quoted Rev')/'PO Amount'" databaseField="0"/>
  </cacheFields>
  <extLst>
    <ext xmlns:x14="http://schemas.microsoft.com/office/spreadsheetml/2009/9/main" uri="{725AE2AE-9491-48be-B2B4-4EB974FC3084}">
      <x14:pivotCacheDefinition pivotCacheId="124142715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ernanda Flores" refreshedDate="45315.738848263885" createdVersion="8" refreshedVersion="8" minRefreshableVersion="3" recordCount="226" xr:uid="{5ABA8016-E9C9-4308-A377-90EE17E6DEED}">
  <cacheSource type="worksheet">
    <worksheetSource name="Table1"/>
  </cacheSource>
  <cacheFields count="42">
    <cacheField name="Month" numFmtId="168">
      <sharedItems containsNonDate="0" containsDate="1" containsString="0" containsBlank="1" minDate="2022-12-01T00:00:00" maxDate="2024-01-25T00:00:00" count="16">
        <d v="2022-12-01T00:00:00"/>
        <d v="2023-01-23T00:00:00"/>
        <d v="2023-02-01T00:00:00"/>
        <d v="2023-03-01T00:00:00"/>
        <d v="2023-04-01T00:00:00"/>
        <d v="2023-05-01T00:00:00"/>
        <d v="2023-06-01T00:00:00"/>
        <d v="2023-07-01T00:00:00"/>
        <d v="2023-08-23T00:00:00"/>
        <d v="2023-09-23T00:00:00"/>
        <d v="2023-10-23T00:00:00"/>
        <d v="2023-11-08T00:00:00"/>
        <d v="2023-12-23T00:00:00"/>
        <d v="2024-01-01T00:00:00"/>
        <d v="2024-01-24T00:00:00"/>
        <m/>
      </sharedItems>
      <fieldGroup par="41"/>
    </cacheField>
    <cacheField name="Main BU" numFmtId="0">
      <sharedItems containsBlank="1" count="6">
        <s v="ICT"/>
        <s v="FCT"/>
        <s v="FIX"/>
        <s v="REPS"/>
        <s v="SW"/>
        <m/>
      </sharedItems>
    </cacheField>
    <cacheField name="PO" numFmtId="0">
      <sharedItems containsBlank="1"/>
    </cacheField>
    <cacheField name="SAPI" numFmtId="0">
      <sharedItems containsBlank="1"/>
    </cacheField>
    <cacheField name="PO a SAPI" numFmtId="0">
      <sharedItems containsBlank="1"/>
    </cacheField>
    <cacheField name="INVOICE_x000a_SAPI" numFmtId="0">
      <sharedItems containsBlank="1" containsMixedTypes="1" containsNumber="1" containsInteger="1" minValue="1631" maxValue="1982"/>
    </cacheField>
    <cacheField name="Project" numFmtId="0">
      <sharedItems containsBlank="1"/>
    </cacheField>
    <cacheField name="Customer" numFmtId="0">
      <sharedItems containsBlank="1" count="15">
        <s v="iRhythm"/>
        <s v="Joule"/>
        <s v="Creston"/>
        <s v="Whoop"/>
        <s v="Flex CA"/>
        <s v="Jabil ESG"/>
        <s v="Atom Power"/>
        <s v="F5 Networks, Inc"/>
        <s v="BCS AIS Querétaro"/>
        <s v="Borgwarner Rex"/>
        <s v="Resideo"/>
        <s v="APTIV"/>
        <s v="Vitesco"/>
        <s v="Neptune"/>
        <m/>
      </sharedItems>
    </cacheField>
    <cacheField name="PO Amount" numFmtId="165">
      <sharedItems containsBlank="1" containsMixedTypes="1" containsNumber="1" minValue="115.11" maxValue="130044.89" count="52">
        <n v="54142.2"/>
        <s v="-"/>
        <n v="45225.97"/>
        <n v="9747.4699999999993"/>
        <n v="66207.350000000006"/>
        <n v="2200"/>
        <n v="130044.89"/>
        <n v="14104.18"/>
        <n v="2420"/>
        <n v="21388.97"/>
        <n v="2459"/>
        <n v="55245.23"/>
        <n v="20493.060000000001"/>
        <n v="28419.21"/>
        <n v="47048.77"/>
        <n v="9552.6"/>
        <n v="29266.82"/>
        <n v="68927.34"/>
        <n v="3986.05"/>
        <n v="18127.3"/>
        <n v="3455.2"/>
        <n v="2500"/>
        <n v="28359.32"/>
        <n v="8739.07"/>
        <n v="8917.93"/>
        <n v="3323.05"/>
        <n v="5418"/>
        <n v="1656"/>
        <n v="22546.1"/>
        <n v="8600"/>
        <n v="55646.1"/>
        <m/>
        <n v="17632.7"/>
        <n v="36197.14"/>
        <n v="121520.72"/>
        <n v="1666.8600000000001"/>
        <n v="48821.75"/>
        <n v="38964.870000000003"/>
        <n v="115.11"/>
        <n v="27908.32"/>
        <n v="14569.68"/>
        <n v="24342.159999999996"/>
        <n v="41637.89"/>
        <n v="34794.11"/>
        <n v="24879.05"/>
        <n v="28614.91"/>
        <n v="49550"/>
        <n v="50824"/>
        <n v="38324"/>
        <n v="50489.51"/>
        <n v="44343.13"/>
        <n v="21200.240000000002"/>
      </sharedItems>
    </cacheField>
    <cacheField name="Theorical Margen" numFmtId="0">
      <sharedItems containsBlank="1" containsMixedTypes="1" containsNumber="1" minValue="0" maxValue="1" count="44">
        <n v="0.31154995548758641"/>
        <s v="-"/>
        <n v="0.3213145013805121"/>
        <n v="0.89354263208812146"/>
        <n v="0.46241769229549284"/>
        <n v="1"/>
        <n v="3.6057780817070159E-2"/>
        <n v="3.3522686182394158E-2"/>
        <n v="0.38392966094206499"/>
        <n v="0.98413989426596182"/>
        <n v="0.46852425087197569"/>
        <n v="0.16666666666666666"/>
        <n v="0.40373500881973851"/>
        <n v="0.47715848894668239"/>
        <n v="0.63025773087955117"/>
        <n v="0.41468154039284078"/>
        <n v="0.37402487895224162"/>
        <n v="0.26450746980093076"/>
        <n v="0.38098889520226403"/>
        <n v="0.28571428571428575"/>
        <n v="0.88"/>
        <n v="0.40400510308427706"/>
        <n v="0.62774860482866024"/>
        <n v="0.17355372827550794"/>
        <n v="0"/>
        <n v="0.1878922111480251"/>
        <n v="0.69404242862401933"/>
        <n v="5.6482558139534886E-2"/>
        <n v="0.19214300702671741"/>
        <n v="0.38676425817067311"/>
        <n v="0.3773976158139945"/>
        <n v="0.13043087001907797"/>
        <n v="0.45326621843747922"/>
        <n v="0.13043492766689596"/>
        <n v="0.14056120232820779"/>
        <n v="0.55480659530921239"/>
        <n v="0.13043526007434614"/>
        <n v="0.41550380081307492"/>
        <n v="0.13043480349268416"/>
        <n v="0.47263661594795625"/>
        <n v="0.51190288559355945"/>
        <n v="0.14648506559031282"/>
        <n v="0.09"/>
        <m/>
      </sharedItems>
    </cacheField>
    <cacheField name="Quoted Rev" numFmtId="0">
      <sharedItems containsBlank="1" containsMixedTypes="1" containsNumber="1" minValue="0" maxValue="45861.63"/>
    </cacheField>
    <cacheField name="Quoted Cost" numFmtId="0">
      <sharedItems containsBlank="1" containsMixedTypes="1" containsNumber="1" minValue="0" maxValue="125355.76"/>
    </cacheField>
    <cacheField name="Total_x000a_Expense" numFmtId="165">
      <sharedItems containsBlank="1" containsMixedTypes="1" containsNumber="1" minValue="0" maxValue="125355.76" count="39">
        <n v="36248.959999999999"/>
        <s v="-"/>
        <n v="39427.370000000003"/>
        <n v="929.36"/>
        <n v="30266.510000000002"/>
        <n v="0"/>
        <n v="125355.76"/>
        <n v="13631.37"/>
        <n v="12800.060000000001"/>
        <n v="42.01"/>
        <n v="31861.79"/>
        <n v="17077.55"/>
        <n v="15784"/>
        <n v="23989.19"/>
        <n v="3232"/>
        <n v="16369.08"/>
        <n v="2931.71"/>
        <n v="11952.3"/>
        <n v="2468"/>
        <n v="16981.05"/>
        <n v="7370.19"/>
        <n v="3323.05"/>
        <n v="4400"/>
        <n v="1656"/>
        <n v="2652.92"/>
        <n v="8114.25"/>
        <n v="55646.1"/>
        <n v="12290.04"/>
        <n v="17194.040000000005"/>
        <n v="1449.45"/>
        <n v="33882.49"/>
        <n v="73.97999999999999"/>
        <n v="4900.6499999999987"/>
        <n v="12669.28"/>
        <n v="36206.86"/>
        <n v="42291.898600048393"/>
        <n v="46249.840000000004"/>
        <n v="34874.840000000004"/>
        <m/>
      </sharedItems>
    </cacheField>
    <cacheField name="Overall" numFmtId="0">
      <sharedItems containsBlank="1"/>
    </cacheField>
    <cacheField name="PROFIT" numFmtId="165">
      <sharedItems containsBlank="1" containsMixedTypes="1" containsNumber="1" minValue="0" maxValue="121520.72" count="47">
        <n v="17893.239999999998"/>
        <s v="-"/>
        <n v="5798.5999999999967"/>
        <n v="8818.11"/>
        <n v="35940.839999999997"/>
        <n v="2200"/>
        <n v="4689.1301399999993"/>
        <n v="472.81"/>
        <n v="2420"/>
        <n v="8588.91"/>
        <n v="2416.9899999999998"/>
        <n v="23383.439999999999"/>
        <n v="3415.51"/>
        <n v="12635.210000000001"/>
        <n v="23059.58"/>
        <n v="6320.6"/>
        <n v="12897.74"/>
        <m/>
        <n v="1054.3400000000001"/>
        <n v="6175.0000000000009"/>
        <n v="987.2"/>
        <n v="2500"/>
        <n v="11378.269999999999"/>
        <n v="8739.0689999999977"/>
        <n v="1547.7400000000007"/>
        <n v="0"/>
        <n v="1018"/>
        <n v="19893.18"/>
        <n v="1600.75"/>
        <n v="5342.66"/>
        <n v="19003.099999999995"/>
        <n v="121520.72"/>
        <n v="217.41000000000008"/>
        <n v="48821.75"/>
        <n v="5082.3800000000047"/>
        <n v="41.130000000000017"/>
        <n v="23007.670000000002"/>
        <n v="1900.3999999999996"/>
        <n v="24342.159999999996"/>
        <n v="5431.0299999999988"/>
        <n v="34794.11"/>
        <n v="24879.05"/>
        <n v="28614.904999999999"/>
        <n v="7258.335"/>
        <n v="4574.16"/>
        <n v="3449.16"/>
        <n v="50489.509999999995"/>
      </sharedItems>
    </cacheField>
    <cacheField name="Margen Real" numFmtId="0">
      <sharedItems containsBlank="1" containsMixedTypes="1" containsNumber="1" minValue="0" maxValue="1" count="39">
        <n v="0.3304860164529701"/>
        <m/>
        <n v="0.12821394433331107"/>
        <n v="0.90465628516938257"/>
        <n v="0.54285271952434277"/>
        <n v="1"/>
        <n v="3.6057780817070159E-2"/>
        <n v="3.3522686182394158E-2"/>
        <n v="0.40155790578040923"/>
        <n v="0.98291581943879613"/>
        <n v="0.42326622588049678"/>
        <n v="0.16666666666666666"/>
        <n v="0.44460102867039586"/>
        <n v="0.49012078317881641"/>
        <n v="0.6616627933756255"/>
        <n v="0.4406949576346183"/>
        <n v="0"/>
        <n v="0.26450746980093076"/>
        <n v="0.34064642831530351"/>
        <n v="0.28571428571428575"/>
        <n v="0.40121801227956094"/>
        <n v="0.99999988557134778"/>
        <n v="0.17355372827550794"/>
        <n v="0.1878922111480251"/>
        <n v="0.88233352996748893"/>
        <n v="0.18613372093023256"/>
        <s v="-"/>
        <n v="0.30299727211374322"/>
        <n v="0.52498899084292283"/>
        <n v="0.13043087001907783"/>
        <n v="0.13043492766689596"/>
        <n v="0.35731039874902282"/>
        <n v="0.82440182712538779"/>
        <n v="0.13043526007434614"/>
        <n v="0.13043480349268416"/>
        <n v="0.99999982526591902"/>
        <n v="0.14648506559031282"/>
        <n v="0.09"/>
        <n v="0.99999999999999989"/>
      </sharedItems>
    </cacheField>
    <cacheField name="Status" numFmtId="0">
      <sharedItems containsBlank="1"/>
    </cacheField>
    <cacheField name="Quoted Materials" numFmtId="0">
      <sharedItems containsBlank="1" containsMixedTypes="1" containsNumber="1" minValue="0" maxValue="125355.76"/>
    </cacheField>
    <cacheField name="Expensed Materials" numFmtId="0">
      <sharedItems containsBlank="1" containsMixedTypes="1" containsNumber="1" minValue="0" maxValue="125355.76"/>
    </cacheField>
    <cacheField name="% Materials" numFmtId="0">
      <sharedItems containsBlank="1" containsMixedTypes="1" containsNumber="1" minValue="0" maxValue="3.1179578115187114"/>
    </cacheField>
    <cacheField name="Quoted_x000a_Logistic" numFmtId="165">
      <sharedItems containsBlank="1" containsMixedTypes="1" containsNumber="1" minValue="0" maxValue="4670"/>
    </cacheField>
    <cacheField name="Expensed Logistic" numFmtId="0">
      <sharedItems containsBlank="1" containsMixedTypes="1" containsNumber="1" minValue="0" maxValue="3951.43"/>
    </cacheField>
    <cacheField name="%Logs" numFmtId="0">
      <sharedItems containsBlank="1" containsMixedTypes="1" containsNumber="1" minValue="0" maxValue="1.77"/>
    </cacheField>
    <cacheField name="Quoted Travel" numFmtId="165">
      <sharedItems containsBlank="1" containsMixedTypes="1" containsNumber="1" containsInteger="1" minValue="0" maxValue="5285"/>
    </cacheField>
    <cacheField name="Expensed Travel" numFmtId="165">
      <sharedItems containsBlank="1" containsMixedTypes="1" containsNumber="1" minValue="0" maxValue="5003.4399999999996"/>
    </cacheField>
    <cacheField name="% Travel" numFmtId="0">
      <sharedItems containsBlank="1" containsMixedTypes="1" containsNumber="1" minValue="0" maxValue="3.1767873015873014"/>
    </cacheField>
    <cacheField name="Labor Quoted" numFmtId="0">
      <sharedItems containsBlank="1" containsMixedTypes="1" containsNumber="1" minValue="0" maxValue="14316.5"/>
    </cacheField>
    <cacheField name="Expense Quoted" numFmtId="0">
      <sharedItems containsBlank="1" containsMixedTypes="1" containsNumber="1" minValue="0" maxValue="9229.25"/>
    </cacheField>
    <cacheField name="% Labor" numFmtId="0">
      <sharedItems containsBlank="1" containsMixedTypes="1" containsNumber="1" minValue="0.14475271411338961" maxValue="1"/>
    </cacheField>
    <cacheField name="Payment" numFmtId="165">
      <sharedItems containsBlank="1"/>
    </cacheField>
    <cacheField name="Percentage" numFmtId="165">
      <sharedItems containsString="0" containsBlank="1" containsNumber="1" minValue="1.0896970232960205E-5" maxValue="1"/>
    </cacheField>
    <cacheField name="Invoice" numFmtId="165">
      <sharedItems containsString="0" containsBlank="1" containsNumber="1" containsInteger="1" minValue="1007" maxValue="1063"/>
    </cacheField>
    <cacheField name="Status f/Invoice" numFmtId="165">
      <sharedItems containsBlank="1" count="3">
        <s v="Invoiced"/>
        <s v="Pending"/>
        <m/>
      </sharedItems>
    </cacheField>
    <cacheField name="Invoice Amount" numFmtId="165">
      <sharedItems containsString="0" containsBlank="1" containsNumber="1" minValue="0.19214300702671741" maxValue="121520.72"/>
    </cacheField>
    <cacheField name="Invoice Date" numFmtId="165">
      <sharedItems containsString="0" containsBlank="1" containsNumber="1" containsInteger="1" minValue="44928" maxValue="45442" count="39">
        <n v="44928"/>
        <n v="45127"/>
        <n v="45156"/>
        <n v="45196"/>
        <n v="45065"/>
        <n v="44999"/>
        <n v="44986"/>
        <n v="45350"/>
        <n v="45001"/>
        <n v="45077"/>
        <n v="45079"/>
        <n v="45152"/>
        <n v="45183"/>
        <n v="45180"/>
        <n v="45166"/>
        <n v="45293"/>
        <n v="45105"/>
        <n v="45202"/>
        <n v="45216"/>
        <n v="45153"/>
        <n v="45163"/>
        <n v="45184"/>
        <n v="45181"/>
        <n v="45283"/>
        <n v="45266"/>
        <n v="45194"/>
        <n v="45264"/>
        <n v="45230"/>
        <n v="45332"/>
        <n v="45442"/>
        <n v="45246"/>
        <n v="45321"/>
        <n v="45252"/>
        <n v="45324"/>
        <n v="45381"/>
        <n v="45351"/>
        <n v="45307"/>
        <n v="45314"/>
        <m/>
      </sharedItems>
    </cacheField>
    <cacheField name="Payment Terms" numFmtId="165">
      <sharedItems containsString="0" containsBlank="1" containsNumber="1" containsInteger="1" minValue="0" maxValue="90"/>
    </cacheField>
    <cacheField name="Payment Date" numFmtId="165">
      <sharedItems containsString="0" containsBlank="1" containsNumber="1" containsInteger="1" minValue="44928" maxValue="45532"/>
    </cacheField>
    <cacheField name="Payment Status" numFmtId="165">
      <sharedItems containsBlank="1" count="3">
        <s v="Paid"/>
        <s v="Pending"/>
        <m/>
      </sharedItems>
    </cacheField>
    <cacheField name="Status for payment" numFmtId="165">
      <sharedItems containsBlank="1" count="3">
        <s v="Past Due"/>
        <s v="OK"/>
        <m/>
      </sharedItems>
    </cacheField>
    <cacheField name="Months (Month)" numFmtId="0" databaseField="0">
      <fieldGroup base="0">
        <rangePr groupBy="months" startDate="2022-12-01T00:00:00" endDate="2024-01-25T00:00:00"/>
        <groupItems count="14">
          <s v="&lt;12/1/2022"/>
          <s v="Jan"/>
          <s v="Feb"/>
          <s v="Mar"/>
          <s v="Apr"/>
          <s v="May"/>
          <s v="Jun"/>
          <s v="Jul"/>
          <s v="Aug"/>
          <s v="Sep"/>
          <s v="Oct"/>
          <s v="Nov"/>
          <s v="Dec"/>
          <s v="&gt;1/25/2024"/>
        </groupItems>
      </fieldGroup>
    </cacheField>
    <cacheField name="Quarters (Month)" numFmtId="0" databaseField="0">
      <fieldGroup base="0">
        <rangePr groupBy="quarters" startDate="2022-12-01T00:00:00" endDate="2024-01-25T00:00:00"/>
        <groupItems count="6">
          <s v="&lt;12/1/2022"/>
          <s v="Qtr1"/>
          <s v="Qtr2"/>
          <s v="Qtr3"/>
          <s v="Qtr4"/>
          <s v="&gt;1/25/2024"/>
        </groupItems>
      </fieldGroup>
    </cacheField>
    <cacheField name="Years (Month)" numFmtId="0" databaseField="0">
      <fieldGroup base="0">
        <rangePr groupBy="years" startDate="2022-12-01T00:00:00" endDate="2024-01-25T00:00:00"/>
        <groupItems count="5">
          <s v="&lt;12/1/2022"/>
          <s v="2022"/>
          <s v="2023"/>
          <s v="2024"/>
          <s v="&gt;1/25/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x v="0"/>
    <x v="0"/>
    <s v="P10409"/>
    <s v="Design"/>
    <s v="N/A"/>
    <s v="N/A"/>
    <x v="0"/>
    <x v="0"/>
    <x v="0"/>
    <n v="0.31154995548758641"/>
    <n v="16868"/>
    <n v="37274.199999999997"/>
    <n v="36248.959999999999"/>
    <s v="OK"/>
    <n v="17893.239999999998"/>
    <n v="0.3304860164529701"/>
    <x v="0"/>
    <n v="27319.200000000001"/>
    <n v="28982.5"/>
    <n v="1.0608839204661922"/>
    <n v="4670"/>
    <n v="2600.58"/>
    <n v="0.55686937901498923"/>
    <n v="5285"/>
    <n v="4665.88"/>
    <n v="0.88285335856196789"/>
    <m/>
    <m/>
    <m/>
    <s v="DP"/>
    <n v="0.4"/>
    <n v="1007"/>
    <x v="0"/>
    <n v="21656.880000000001"/>
    <x v="0"/>
    <n v="0"/>
    <d v="2023-01-02T00:00:00"/>
    <s v="Paid"/>
    <s v="Past Due"/>
  </r>
  <r>
    <x v="0"/>
    <x v="0"/>
    <s v="P10409"/>
    <s v="Design"/>
    <s v="N/A"/>
    <s v="N/A"/>
    <x v="0"/>
    <x v="0"/>
    <x v="1"/>
    <s v="-"/>
    <s v="-"/>
    <s v="-"/>
    <s v="-"/>
    <s v="-"/>
    <s v="-"/>
    <m/>
    <x v="0"/>
    <s v="-"/>
    <s v="-"/>
    <s v="-"/>
    <s v="-"/>
    <s v="-"/>
    <s v="-"/>
    <s v="-"/>
    <s v="-"/>
    <s v="-"/>
    <s v="-"/>
    <s v="-"/>
    <s v="-"/>
    <s v="Delivery"/>
    <n v="0.6"/>
    <n v="1028"/>
    <x v="0"/>
    <n v="32485.32"/>
    <x v="1"/>
    <n v="30"/>
    <d v="2023-08-19T00:00:00"/>
    <s v="Paid"/>
    <s v="Past Due"/>
  </r>
  <r>
    <x v="0"/>
    <x v="0"/>
    <s v="P10410"/>
    <s v="Design"/>
    <s v="N/A"/>
    <s v="N/A"/>
    <x v="0"/>
    <x v="0"/>
    <x v="2"/>
    <n v="0.3213145013805121"/>
    <n v="14531.76"/>
    <n v="30694.21"/>
    <n v="39427.370000000003"/>
    <s v="NOT OK"/>
    <n v="5798.5999999999967"/>
    <n v="0.12821394433331107"/>
    <x v="0"/>
    <n v="26719.21"/>
    <n v="30472.5"/>
    <n v="1.1404715932843823"/>
    <n v="2400"/>
    <n v="3951.43"/>
    <n v="1.6464291666666666"/>
    <n v="1575"/>
    <n v="5003.4399999999996"/>
    <n v="3.1767873015873014"/>
    <m/>
    <m/>
    <m/>
    <s v="DP"/>
    <n v="0.4"/>
    <n v="1008"/>
    <x v="0"/>
    <n v="18090.39"/>
    <x v="0"/>
    <n v="0"/>
    <d v="2023-01-02T00:00:00"/>
    <s v="Paid"/>
    <s v="Past Due"/>
  </r>
  <r>
    <x v="0"/>
    <x v="0"/>
    <s v="P10410"/>
    <s v="Design"/>
    <s v="N/A"/>
    <s v="N/A"/>
    <x v="0"/>
    <x v="0"/>
    <x v="1"/>
    <s v="-"/>
    <s v="-"/>
    <s v="-"/>
    <s v="-"/>
    <s v="-"/>
    <s v="-"/>
    <m/>
    <x v="0"/>
    <s v="-"/>
    <s v="-"/>
    <s v="-"/>
    <s v="-"/>
    <s v="-"/>
    <s v="-"/>
    <s v="-"/>
    <s v="-"/>
    <s v="-"/>
    <s v="-"/>
    <s v="-"/>
    <s v="-"/>
    <s v="Delivery"/>
    <n v="0.6"/>
    <n v="1034"/>
    <x v="0"/>
    <n v="27135.58"/>
    <x v="2"/>
    <n v="30"/>
    <d v="2023-09-17T00:00:00"/>
    <s v="Pending"/>
    <s v="Past Due"/>
  </r>
  <r>
    <x v="1"/>
    <x v="0"/>
    <s v="PO 35748"/>
    <s v="Design"/>
    <s v="N/A"/>
    <s v="N/A"/>
    <x v="1"/>
    <x v="1"/>
    <x v="3"/>
    <n v="0.89354263208812146"/>
    <n v="8709.7800000000007"/>
    <n v="1037.69"/>
    <n v="929.36"/>
    <s v="OK"/>
    <n v="8818.11"/>
    <n v="0.90465628516938257"/>
    <x v="0"/>
    <n v="270.69"/>
    <n v="844"/>
    <n v="3.1179578115187114"/>
    <n v="0"/>
    <n v="85.36"/>
    <s v="No budget"/>
    <n v="0"/>
    <n v="0"/>
    <s v="N/A"/>
    <m/>
    <m/>
    <m/>
    <s v="Delivery"/>
    <n v="1"/>
    <n v="1047"/>
    <x v="0"/>
    <n v="9747.4699999999993"/>
    <x v="3"/>
    <n v="30"/>
    <d v="2023-10-27T00:00:00"/>
    <s v="Pending"/>
    <s v="Past Due"/>
  </r>
  <r>
    <x v="2"/>
    <x v="0"/>
    <s v="PO 494919"/>
    <s v="Design"/>
    <s v="N/A"/>
    <s v="N/A"/>
    <x v="2"/>
    <x v="2"/>
    <x v="4"/>
    <n v="0.46241769229549284"/>
    <n v="30615.45"/>
    <n v="35591.9"/>
    <n v="30266.510000000002"/>
    <s v="OK"/>
    <n v="35940.839999999997"/>
    <n v="0.54285271952434277"/>
    <x v="0"/>
    <n v="34016.9"/>
    <n v="29790.68"/>
    <n v="0.87576116577348317"/>
    <n v="0"/>
    <n v="475.83"/>
    <s v="No budget"/>
    <n v="1575"/>
    <n v="0"/>
    <n v="0"/>
    <m/>
    <m/>
    <m/>
    <s v="Delivery"/>
    <n v="1"/>
    <n v="1020"/>
    <x v="0"/>
    <n v="66207.350000000006"/>
    <x v="4"/>
    <n v="30"/>
    <d v="2023-07-14T00:00:00"/>
    <s v="Paid"/>
    <s v="Past Due"/>
  </r>
  <r>
    <x v="2"/>
    <x v="0"/>
    <s v="PO 494969"/>
    <s v="Install"/>
    <s v="N/A"/>
    <s v="N/A"/>
    <x v="3"/>
    <x v="2"/>
    <x v="5"/>
    <n v="1"/>
    <n v="2200"/>
    <n v="0"/>
    <n v="0"/>
    <s v="OK"/>
    <n v="2200"/>
    <n v="1"/>
    <x v="0"/>
    <n v="0"/>
    <n v="0"/>
    <s v="N/A"/>
    <n v="0"/>
    <n v="0"/>
    <s v="N/A"/>
    <n v="0"/>
    <n v="0"/>
    <s v="N/A"/>
    <n v="20"/>
    <n v="20"/>
    <n v="1"/>
    <s v="Delivery"/>
    <n v="1"/>
    <n v="1014"/>
    <x v="0"/>
    <n v="2200"/>
    <x v="5"/>
    <n v="30"/>
    <d v="2023-04-13T00:00:00"/>
    <s v="Paid"/>
    <s v="Past Due"/>
  </r>
  <r>
    <x v="3"/>
    <x v="1"/>
    <s v="PO CAP5-21221-1655-SC"/>
    <s v="Project"/>
    <s v="PO2301005"/>
    <n v="1632"/>
    <x v="4"/>
    <x v="3"/>
    <x v="6"/>
    <n v="3.6057780817070159E-2"/>
    <n v="4689.1301399999993"/>
    <n v="125355.76"/>
    <n v="125355.76"/>
    <s v="OK"/>
    <n v="4689.1301399999993"/>
    <n v="3.6057780817070159E-2"/>
    <x v="1"/>
    <n v="125355.76"/>
    <n v="125355.76"/>
    <n v="1"/>
    <n v="0"/>
    <n v="0"/>
    <s v="N/A"/>
    <n v="0"/>
    <n v="0"/>
    <s v="N/A"/>
    <n v="0"/>
    <n v="0"/>
    <s v="No quoted"/>
    <s v="DP"/>
    <n v="0.5"/>
    <n v="1013"/>
    <x v="0"/>
    <n v="65022.445"/>
    <x v="6"/>
    <n v="0"/>
    <d v="2023-03-01T00:00:00"/>
    <s v="Paid"/>
    <s v="Past Due"/>
  </r>
  <r>
    <x v="3"/>
    <x v="1"/>
    <s v="PO CAP5-21221-1655-SC"/>
    <s v="Project"/>
    <s v="PO2301005"/>
    <s v="Pending"/>
    <x v="4"/>
    <x v="3"/>
    <x v="1"/>
    <s v="-"/>
    <s v="-"/>
    <s v="-"/>
    <s v="-"/>
    <s v="-"/>
    <s v="-"/>
    <m/>
    <x v="1"/>
    <s v="-"/>
    <s v="-"/>
    <s v="-"/>
    <s v="-"/>
    <s v="-"/>
    <s v="-"/>
    <s v="-"/>
    <s v="-"/>
    <s v="-"/>
    <s v="-"/>
    <s v="-"/>
    <s v="-"/>
    <s v="Delivery"/>
    <n v="0.5"/>
    <m/>
    <x v="1"/>
    <n v="65022.445"/>
    <x v="7"/>
    <n v="30"/>
    <d v="2024-02-29T00:00:00"/>
    <s v="Pending"/>
    <s v="OK"/>
  </r>
  <r>
    <x v="3"/>
    <x v="2"/>
    <s v="PO #: 310007970"/>
    <s v="Project"/>
    <s v="PO2301008"/>
    <n v="1631"/>
    <x v="5"/>
    <x v="4"/>
    <x v="7"/>
    <n v="3.3522686182394158E-2"/>
    <n v="472.81"/>
    <n v="13631.37"/>
    <n v="13631.37"/>
    <s v="OK"/>
    <n v="472.81"/>
    <n v="3.3522686182394158E-2"/>
    <x v="0"/>
    <n v="13631.37"/>
    <n v="13631.37"/>
    <n v="1"/>
    <n v="0"/>
    <n v="0"/>
    <s v="N/A"/>
    <n v="0"/>
    <n v="0"/>
    <s v="N/A"/>
    <n v="0"/>
    <n v="0"/>
    <s v="No quoted"/>
    <s v="DP"/>
    <n v="0.5"/>
    <n v="1015"/>
    <x v="0"/>
    <n v="7052.09"/>
    <x v="8"/>
    <n v="0"/>
    <d v="2023-03-16T00:00:00"/>
    <s v="Paid"/>
    <s v="Past Due"/>
  </r>
  <r>
    <x v="3"/>
    <x v="2"/>
    <s v="PO #: 310007970"/>
    <s v="Project"/>
    <s v="PO2301008"/>
    <n v="1718"/>
    <x v="5"/>
    <x v="4"/>
    <x v="1"/>
    <s v="-"/>
    <s v="-"/>
    <s v="-"/>
    <s v="-"/>
    <s v="-"/>
    <s v="-"/>
    <m/>
    <x v="0"/>
    <s v="-"/>
    <s v="-"/>
    <s v="-"/>
    <s v="-"/>
    <s v="-"/>
    <s v="-"/>
    <s v="-"/>
    <s v="-"/>
    <s v="-"/>
    <s v="-"/>
    <s v="-"/>
    <s v="-"/>
    <s v="Delivery"/>
    <n v="0.5"/>
    <n v="1021"/>
    <x v="0"/>
    <n v="7052.09"/>
    <x v="9"/>
    <n v="30"/>
    <d v="2023-07-10T00:00:00"/>
    <s v="Paid"/>
    <s v="Past Due"/>
  </r>
  <r>
    <x v="3"/>
    <x v="0"/>
    <s v="PO 496034"/>
    <s v="Install"/>
    <s v="N/A"/>
    <s v="N/A"/>
    <x v="3"/>
    <x v="2"/>
    <x v="8"/>
    <n v="1"/>
    <n v="2420"/>
    <n v="0"/>
    <n v="0"/>
    <s v="OK"/>
    <n v="2420"/>
    <n v="1"/>
    <x v="0"/>
    <n v="0"/>
    <n v="0"/>
    <s v="N/A"/>
    <n v="0"/>
    <n v="0"/>
    <s v="N/A"/>
    <n v="0"/>
    <n v="0"/>
    <s v="N/A"/>
    <n v="33"/>
    <n v="33"/>
    <n v="1"/>
    <s v="Delivery"/>
    <n v="0.7"/>
    <n v="1016"/>
    <x v="0"/>
    <n v="1573"/>
    <x v="8"/>
    <n v="30"/>
    <d v="2023-04-15T00:00:00"/>
    <s v="Paid"/>
    <s v="Past Due"/>
  </r>
  <r>
    <x v="3"/>
    <x v="0"/>
    <s v="PO 496034"/>
    <s v="Install"/>
    <s v="N/A"/>
    <s v="N/A"/>
    <x v="3"/>
    <x v="2"/>
    <x v="1"/>
    <s v="-"/>
    <s v="-"/>
    <s v="-"/>
    <s v="-"/>
    <s v="-"/>
    <s v="-"/>
    <m/>
    <x v="0"/>
    <s v="-"/>
    <s v="-"/>
    <s v="-"/>
    <s v="-"/>
    <s v="-"/>
    <s v="-"/>
    <s v="-"/>
    <s v="-"/>
    <s v="-"/>
    <s v="-"/>
    <s v="-"/>
    <s v="-"/>
    <s v="Delivery"/>
    <n v="0.3"/>
    <n v="1022"/>
    <x v="0"/>
    <n v="847"/>
    <x v="10"/>
    <n v="30"/>
    <d v="2023-07-02T00:00:00"/>
    <s v="Paid"/>
    <s v="Past Due"/>
  </r>
  <r>
    <x v="4"/>
    <x v="0"/>
    <s v="PO C10002158192"/>
    <s v="Design"/>
    <s v="N/A"/>
    <s v="N/A"/>
    <x v="6"/>
    <x v="5"/>
    <x v="9"/>
    <n v="0.38392966094206499"/>
    <n v="8211.86"/>
    <n v="13177.11"/>
    <n v="12800.060000000001"/>
    <s v="OK"/>
    <n v="8588.91"/>
    <n v="0.40155790578040923"/>
    <x v="0"/>
    <n v="12687.11"/>
    <n v="12285.2"/>
    <n v="0.9683213907659034"/>
    <n v="490"/>
    <n v="514.86"/>
    <n v="1.050734693877551"/>
    <n v="0"/>
    <n v="0"/>
    <s v="N/A"/>
    <n v="41.45"/>
    <n v="6"/>
    <n v="0.14475271411338961"/>
    <s v="Delivery"/>
    <n v="1"/>
    <n v="1023"/>
    <x v="0"/>
    <n v="21388.97"/>
    <x v="10"/>
    <n v="30"/>
    <d v="2023-08-16T00:00:00"/>
    <s v="Paid"/>
    <s v="Past Due"/>
  </r>
  <r>
    <x v="4"/>
    <x v="0"/>
    <s v="PO 497180"/>
    <s v="Install"/>
    <s v="N/A"/>
    <s v="N/A"/>
    <x v="7"/>
    <x v="2"/>
    <x v="10"/>
    <n v="0.98413989426596182"/>
    <n v="2420"/>
    <n v="39"/>
    <n v="42.01"/>
    <s v="NOT OK"/>
    <n v="2416.9899999999998"/>
    <n v="0.98291581943879613"/>
    <x v="0"/>
    <n v="39"/>
    <n v="42.01"/>
    <n v="1.0771794871794871"/>
    <n v="0"/>
    <n v="0"/>
    <s v="N/A"/>
    <n v="0"/>
    <n v="0"/>
    <s v="N/A"/>
    <n v="20"/>
    <n v="20"/>
    <n v="1"/>
    <s v="Delivery"/>
    <n v="1"/>
    <n v="1024"/>
    <x v="0"/>
    <n v="2459"/>
    <x v="10"/>
    <n v="30"/>
    <d v="2023-07-02T00:00:00"/>
    <s v="Paid"/>
    <s v="Past Due"/>
  </r>
  <r>
    <x v="4"/>
    <x v="0"/>
    <s v="PO 497555"/>
    <s v="Design"/>
    <s v="N/A"/>
    <s v="N/A"/>
    <x v="8"/>
    <x v="2"/>
    <x v="11"/>
    <n v="0.46852425087197569"/>
    <n v="25883.73"/>
    <n v="29361.5"/>
    <n v="31861.79"/>
    <s v="NOT OK"/>
    <n v="23383.439999999999"/>
    <n v="0.42326622588049678"/>
    <x v="0"/>
    <n v="28761.5"/>
    <n v="31484.39"/>
    <n v="1.0946713488517636"/>
    <n v="600"/>
    <n v="377.4"/>
    <n v="0.629"/>
    <n v="0"/>
    <n v="0"/>
    <s v="N/A"/>
    <m/>
    <m/>
    <m/>
    <s v="Delivery"/>
    <n v="1"/>
    <n v="1029"/>
    <x v="0"/>
    <n v="55245.23"/>
    <x v="1"/>
    <n v="30"/>
    <d v="2023-09-11T00:00:00"/>
    <s v="Paid"/>
    <s v="Past Due"/>
  </r>
  <r>
    <x v="5"/>
    <x v="2"/>
    <s v="PO0000351"/>
    <s v="Project"/>
    <s v="PO2301016"/>
    <n v="1706"/>
    <x v="9"/>
    <x v="6"/>
    <x v="12"/>
    <n v="0.16666666666666666"/>
    <n v="3415.51"/>
    <n v="17077.55"/>
    <n v="17077.55"/>
    <s v="OK"/>
    <n v="3415.51"/>
    <n v="0.16666666666666666"/>
    <x v="0"/>
    <n v="17077.55"/>
    <n v="17077.55"/>
    <n v="1"/>
    <n v="0"/>
    <n v="0"/>
    <s v="N/A"/>
    <n v="0"/>
    <n v="0"/>
    <s v="N/A"/>
    <n v="0"/>
    <n v="0"/>
    <s v="No quoted"/>
    <s v="DP"/>
    <n v="0.3"/>
    <n v="1018"/>
    <x v="0"/>
    <n v="6147.91"/>
    <x v="4"/>
    <n v="0"/>
    <d v="2023-05-19T00:00:00"/>
    <s v="Paid"/>
    <s v="Past Due"/>
  </r>
  <r>
    <x v="5"/>
    <x v="2"/>
    <s v="PO0000351"/>
    <s v="Project"/>
    <s v="N/A"/>
    <n v="1794"/>
    <x v="9"/>
    <x v="6"/>
    <x v="1"/>
    <s v="-"/>
    <s v="-"/>
    <s v="-"/>
    <s v="-"/>
    <s v="-"/>
    <s v="-"/>
    <m/>
    <x v="0"/>
    <s v="-"/>
    <s v="-"/>
    <s v="-"/>
    <s v="-"/>
    <s v="-"/>
    <s v="-"/>
    <s v="-"/>
    <s v="-"/>
    <s v="-"/>
    <s v="-"/>
    <s v="-"/>
    <s v="-"/>
    <s v="Delivery"/>
    <n v="0.7"/>
    <n v="1031"/>
    <x v="0"/>
    <n v="14345.15"/>
    <x v="11"/>
    <n v="30"/>
    <d v="2023-09-11T00:00:00"/>
    <s v="Paid"/>
    <s v="Past Due"/>
  </r>
  <r>
    <x v="6"/>
    <x v="0"/>
    <s v="PO C10002256704"/>
    <s v="Design"/>
    <s v="N/A"/>
    <s v="N/A"/>
    <x v="10"/>
    <x v="5"/>
    <x v="13"/>
    <n v="0.40373500881973851"/>
    <n v="11473.83"/>
    <n v="16945.38"/>
    <n v="15784"/>
    <s v="OK"/>
    <n v="12635.210000000001"/>
    <n v="0.44460102867039586"/>
    <x v="0"/>
    <n v="16745.384615384617"/>
    <n v="15430"/>
    <n v="0.92144793054343321"/>
    <n v="200"/>
    <n v="354"/>
    <n v="1.77"/>
    <n v="0"/>
    <n v="0"/>
    <s v="N/A"/>
    <n v="0"/>
    <n v="0"/>
    <s v="N/A"/>
    <s v="Delivery"/>
    <n v="1"/>
    <n v="1043"/>
    <x v="0"/>
    <n v="28419.21"/>
    <x v="12"/>
    <n v="30"/>
    <d v="2023-10-14T00:00:00"/>
    <s v="Paid"/>
    <s v="Past Due"/>
  </r>
  <r>
    <x v="6"/>
    <x v="0"/>
    <s v="PO 500087"/>
    <s v="Design"/>
    <s v="N/A"/>
    <s v="N/A"/>
    <x v="11"/>
    <x v="2"/>
    <x v="14"/>
    <n v="0.47715848894668239"/>
    <n v="22449.72"/>
    <n v="24599.05"/>
    <n v="23989.19"/>
    <s v="OK"/>
    <n v="23059.58"/>
    <n v="0.49012078317881641"/>
    <x v="0"/>
    <n v="23329.053800000002"/>
    <n v="23599.19"/>
    <n v="1.011579389473567"/>
    <n v="1100"/>
    <n v="390"/>
    <n v="0.35454545454545455"/>
    <n v="0"/>
    <n v="0"/>
    <s v="N/A"/>
    <n v="0"/>
    <n v="0"/>
    <s v="N/A"/>
    <s v="Delivery"/>
    <n v="1"/>
    <n v="1039"/>
    <x v="0"/>
    <n v="47048.77"/>
    <x v="13"/>
    <n v="30"/>
    <d v="2023-10-11T00:00:00"/>
    <s v="Paid"/>
    <s v="Past Due"/>
  </r>
  <r>
    <x v="6"/>
    <x v="0"/>
    <s v="PO 81036328"/>
    <s v="Install"/>
    <s v="N/A"/>
    <s v="N/A"/>
    <x v="12"/>
    <x v="7"/>
    <x v="15"/>
    <n v="0.63025773087955117"/>
    <n v="6020.6"/>
    <n v="3532"/>
    <n v="3232"/>
    <s v="OK"/>
    <n v="6320.6"/>
    <n v="0.6616627933756255"/>
    <x v="0"/>
    <n v="3232"/>
    <n v="3232"/>
    <n v="1"/>
    <n v="300"/>
    <n v="0"/>
    <n v="0"/>
    <n v="0"/>
    <n v="0"/>
    <s v="N/A"/>
    <n v="0"/>
    <n v="0"/>
    <s v="N/A"/>
    <s v="Delivery"/>
    <n v="1"/>
    <n v="1040"/>
    <x v="0"/>
    <n v="9552.6"/>
    <x v="13"/>
    <n v="45"/>
    <d v="2023-10-26T00:00:00"/>
    <s v="Paid"/>
    <s v="Past Due"/>
  </r>
  <r>
    <x v="6"/>
    <x v="0"/>
    <s v="PO 4500028363"/>
    <s v="Design"/>
    <s v="N/A"/>
    <s v="N/A"/>
    <x v="13"/>
    <x v="8"/>
    <x v="16"/>
    <n v="0.41468154039284078"/>
    <n v="12136.41"/>
    <n v="17130.41"/>
    <n v="16369.08"/>
    <s v="OK"/>
    <n v="12897.74"/>
    <n v="0.4406949576346183"/>
    <x v="0"/>
    <n v="15780.41"/>
    <n v="15981.85"/>
    <n v="1.0127651943137093"/>
    <n v="500"/>
    <n v="387.23"/>
    <n v="0.77446000000000004"/>
    <n v="850"/>
    <n v="0"/>
    <n v="0"/>
    <n v="0"/>
    <n v="0"/>
    <s v="N/A"/>
    <s v="Delivery"/>
    <n v="1"/>
    <n v="1037"/>
    <x v="0"/>
    <n v="29266.82"/>
    <x v="14"/>
    <n v="30"/>
    <d v="2023-09-27T00:00:00"/>
    <s v="Paid"/>
    <s v="Past Due"/>
  </r>
  <r>
    <x v="6"/>
    <x v="0"/>
    <s v="PO 4500028265"/>
    <s v="Design"/>
    <s v="N/A"/>
    <s v="N/A"/>
    <x v="14"/>
    <x v="8"/>
    <x v="17"/>
    <n v="0.37402487895224162"/>
    <n v="25780.54"/>
    <n v="43146.8"/>
    <n v="0"/>
    <s v="OK"/>
    <m/>
    <n v="0"/>
    <x v="1"/>
    <n v="0"/>
    <n v="0"/>
    <s v="N/A"/>
    <n v="0"/>
    <n v="0"/>
    <s v="N/A"/>
    <n v="0"/>
    <n v="0"/>
    <s v="N/A"/>
    <n v="0"/>
    <n v="0"/>
    <s v="N/A"/>
    <s v="Delivery"/>
    <n v="1"/>
    <m/>
    <x v="1"/>
    <n v="68927.34"/>
    <x v="7"/>
    <n v="30"/>
    <d v="2024-02-29T00:00:00"/>
    <s v="Pending"/>
    <s v="OK"/>
  </r>
  <r>
    <x v="6"/>
    <x v="2"/>
    <s v="PO0000499"/>
    <s v="Project"/>
    <s v="PO2301020"/>
    <n v="1756"/>
    <x v="9"/>
    <x v="6"/>
    <x v="18"/>
    <n v="0.26450746980093076"/>
    <n v="1054.3400000000001"/>
    <n v="2931.71"/>
    <n v="2931.71"/>
    <s v="OK"/>
    <n v="1054.3400000000001"/>
    <n v="0.26450746980093076"/>
    <x v="0"/>
    <n v="2931.71"/>
    <n v="2931.71"/>
    <n v="1"/>
    <n v="0"/>
    <n v="0"/>
    <s v="OK"/>
    <n v="0"/>
    <n v="0"/>
    <s v="N/A"/>
    <n v="0"/>
    <n v="0"/>
    <s v="No quoted"/>
    <s v="DP"/>
    <n v="0.3"/>
    <n v="1026"/>
    <x v="0"/>
    <n v="1195.81"/>
    <x v="15"/>
    <n v="0"/>
    <d v="2023-06-28T00:00:00"/>
    <s v="Paid"/>
    <s v="Past Due"/>
  </r>
  <r>
    <x v="6"/>
    <x v="2"/>
    <s v="PO0000499"/>
    <s v="Project"/>
    <s v="N/A"/>
    <n v="1797"/>
    <x v="9"/>
    <x v="6"/>
    <x v="1"/>
    <s v="-"/>
    <s v="-"/>
    <s v="-"/>
    <s v="-"/>
    <s v="-"/>
    <s v="-"/>
    <m/>
    <x v="0"/>
    <s v="-"/>
    <s v="-"/>
    <s v="-"/>
    <s v="-"/>
    <s v="-"/>
    <s v="-"/>
    <s v="-"/>
    <s v="-"/>
    <s v="-"/>
    <s v="-"/>
    <s v="-"/>
    <s v="-"/>
    <s v="Delivery"/>
    <n v="0.7"/>
    <n v="1030"/>
    <x v="0"/>
    <n v="2790.24"/>
    <x v="11"/>
    <n v="30"/>
    <d v="2023-09-11T00:00:00"/>
    <s v="Paid"/>
    <s v="Past Due"/>
  </r>
  <r>
    <x v="7"/>
    <x v="0"/>
    <s v="PO 500885"/>
    <s v="Install"/>
    <s v="N/A"/>
    <s v="N/A"/>
    <x v="15"/>
    <x v="2"/>
    <x v="19"/>
    <n v="0.38098889520226403"/>
    <n v="6906.3"/>
    <n v="11221"/>
    <n v="11952.3"/>
    <s v="OK"/>
    <n v="6175.0000000000009"/>
    <n v="0.34064642831530351"/>
    <x v="0"/>
    <n v="12202.3"/>
    <n v="11952.3"/>
    <n v="0.97951205920195372"/>
    <n v="0"/>
    <n v="0"/>
    <s v="N/A"/>
    <n v="0"/>
    <n v="0"/>
    <s v="N/A"/>
    <n v="0"/>
    <n v="0"/>
    <s v="No quoted"/>
    <s v="Delivery"/>
    <n v="1"/>
    <n v="1048"/>
    <x v="0"/>
    <n v="18127.3"/>
    <x v="16"/>
    <n v="30"/>
    <d v="2023-11-02T00:00:00"/>
    <s v="Pending"/>
    <s v="Past Due"/>
  </r>
  <r>
    <x v="8"/>
    <x v="0"/>
    <s v="PO 81036846"/>
    <s v="Install"/>
    <s v="N/A"/>
    <s v="N/A"/>
    <x v="12"/>
    <x v="7"/>
    <x v="20"/>
    <n v="0.28571428571428575"/>
    <n v="987.2"/>
    <n v="2468"/>
    <n v="2468"/>
    <s v="OK"/>
    <n v="987.2"/>
    <n v="0.28571428571428575"/>
    <x v="0"/>
    <n v="2468"/>
    <n v="2468"/>
    <n v="1"/>
    <n v="0"/>
    <n v="0"/>
    <s v="N/A"/>
    <n v="0"/>
    <n v="0"/>
    <s v="N/A"/>
    <n v="0"/>
    <n v="0"/>
    <s v="No quoted"/>
    <s v="Delivery"/>
    <n v="1"/>
    <n v="1041"/>
    <x v="0"/>
    <n v="3455.2"/>
    <x v="13"/>
    <n v="45"/>
    <d v="2023-10-26T00:00:00"/>
    <s v="Paid"/>
    <s v="Past Due"/>
  </r>
  <r>
    <x v="8"/>
    <x v="0"/>
    <s v="PO 501962"/>
    <s v="Install"/>
    <s v="N/A"/>
    <s v="N/A"/>
    <x v="16"/>
    <x v="2"/>
    <x v="21"/>
    <n v="0.88"/>
    <n v="2200"/>
    <n v="300"/>
    <n v="0"/>
    <s v="OK"/>
    <n v="2500"/>
    <n v="1"/>
    <x v="0"/>
    <n v="0"/>
    <n v="0"/>
    <s v="N/A"/>
    <n v="0"/>
    <n v="0"/>
    <s v="N/A"/>
    <n v="300"/>
    <n v="0"/>
    <n v="0"/>
    <n v="2200"/>
    <n v="0"/>
    <s v="No quoted"/>
    <s v="Delivery"/>
    <n v="1"/>
    <n v="1036"/>
    <x v="0"/>
    <n v="2500"/>
    <x v="14"/>
    <n v="30"/>
    <d v="2023-09-27T00:00:00"/>
    <s v="Paid"/>
    <s v="Past Due"/>
  </r>
  <r>
    <x v="8"/>
    <x v="0"/>
    <s v="PO 502162"/>
    <s v="n/a"/>
    <s v="N/A"/>
    <s v="N/A"/>
    <x v="17"/>
    <x v="2"/>
    <x v="22"/>
    <n v="0.40400510308427706"/>
    <n v="11457.31"/>
    <n v="16902.009999999998"/>
    <n v="16981.05"/>
    <s v="OK"/>
    <n v="11378.269999999999"/>
    <n v="0.40121801227956094"/>
    <x v="0"/>
    <n v="16252.022500000001"/>
    <n v="16583.05"/>
    <n v="1.020368387996017"/>
    <n v="650"/>
    <n v="398"/>
    <n v="0.61230769230769233"/>
    <n v="0"/>
    <n v="0"/>
    <s v="N/A"/>
    <m/>
    <m/>
    <m/>
    <s v="Delivery"/>
    <n v="1"/>
    <n v="1050"/>
    <x v="0"/>
    <n v="28359.32"/>
    <x v="17"/>
    <n v="30"/>
    <d v="2023-11-16T00:00:00"/>
    <s v="Pending"/>
    <s v="Past Due"/>
  </r>
  <r>
    <x v="8"/>
    <x v="0"/>
    <s v="PO 4500030193"/>
    <s v="Design"/>
    <s v="N/A"/>
    <s v="N/A"/>
    <x v="14"/>
    <x v="8"/>
    <x v="23"/>
    <n v="0.62774860482866024"/>
    <n v="5485.9389999999994"/>
    <n v="3253.1299999999983"/>
    <n v="0"/>
    <s v="OK"/>
    <n v="8739.0689999999977"/>
    <n v="0.99999988557134778"/>
    <x v="1"/>
    <m/>
    <m/>
    <m/>
    <m/>
    <m/>
    <m/>
    <m/>
    <m/>
    <m/>
    <m/>
    <m/>
    <m/>
    <s v="Delivery"/>
    <n v="1"/>
    <m/>
    <x v="1"/>
    <n v="8739.07"/>
    <x v="7"/>
    <n v="30"/>
    <d v="2024-02-29T00:00:00"/>
    <s v="Pending"/>
    <s v="OK"/>
  </r>
  <r>
    <x v="8"/>
    <x v="1"/>
    <s v="PO CAPMG-22044-1640-SC"/>
    <s v="Project"/>
    <s v="PO2301028"/>
    <n v="1803"/>
    <x v="4"/>
    <x v="3"/>
    <x v="24"/>
    <n v="0.17355372827550794"/>
    <n v="1547.7400000000007"/>
    <n v="7370.19"/>
    <n v="7370.19"/>
    <s v="OK"/>
    <n v="1547.7400000000007"/>
    <n v="0.17355372827550794"/>
    <x v="1"/>
    <n v="7370.19"/>
    <n v="7370.19"/>
    <n v="1"/>
    <n v="0"/>
    <n v="0"/>
    <s v="N/A"/>
    <n v="0"/>
    <n v="0"/>
    <s v="N/A"/>
    <n v="0"/>
    <n v="0"/>
    <s v="No quoted"/>
    <s v="DP"/>
    <n v="0.5"/>
    <n v="1032"/>
    <x v="0"/>
    <n v="4458.9650000000001"/>
    <x v="18"/>
    <n v="0"/>
    <d v="2023-09-11T00:00:00"/>
    <s v="Paid"/>
    <s v="Past Due"/>
  </r>
  <r>
    <x v="8"/>
    <x v="1"/>
    <s v="PO CAPMG-22044-1640-SC"/>
    <s v="Project"/>
    <s v="PO2301028"/>
    <s v="Pending"/>
    <x v="4"/>
    <x v="3"/>
    <x v="1"/>
    <s v="-"/>
    <s v="-"/>
    <s v="-"/>
    <s v="-"/>
    <s v="-"/>
    <s v="-"/>
    <m/>
    <x v="1"/>
    <s v="-"/>
    <s v="-"/>
    <s v="-"/>
    <s v="-"/>
    <s v="-"/>
    <s v="-"/>
    <s v="-"/>
    <s v="-"/>
    <s v="-"/>
    <s v="-"/>
    <s v="-"/>
    <s v="-"/>
    <s v="Delivery"/>
    <n v="0.5"/>
    <m/>
    <x v="1"/>
    <n v="4458.9650000000001"/>
    <x v="7"/>
    <n v="30"/>
    <d v="2024-02-29T00:00:00"/>
    <s v="Pending"/>
    <s v="OK"/>
  </r>
  <r>
    <x v="8"/>
    <x v="0"/>
    <s v="PO 502923"/>
    <s v="n/a"/>
    <s v="N/A"/>
    <s v="N/A"/>
    <x v="15"/>
    <x v="2"/>
    <x v="25"/>
    <n v="0"/>
    <n v="0"/>
    <n v="3323.05"/>
    <n v="3323.05"/>
    <s v="OK"/>
    <n v="0"/>
    <n v="0"/>
    <x v="0"/>
    <n v="3323.05"/>
    <n v="3323.05"/>
    <n v="1"/>
    <n v="0"/>
    <n v="0"/>
    <s v="N/A"/>
    <n v="0"/>
    <n v="0"/>
    <s v="N/A"/>
    <n v="0"/>
    <n v="0"/>
    <s v="No quoted"/>
    <s v="Delivery"/>
    <n v="1"/>
    <n v="1049"/>
    <x v="0"/>
    <n v="3323.05"/>
    <x v="16"/>
    <n v="30"/>
    <d v="2023-11-02T00:00:00"/>
    <s v="Pending"/>
    <s v="Past Due"/>
  </r>
  <r>
    <x v="8"/>
    <x v="1"/>
    <s v="CAP5-22144-1655-SC"/>
    <s v="Project"/>
    <s v="PO2301033"/>
    <n v="1825"/>
    <x v="4"/>
    <x v="3"/>
    <x v="26"/>
    <n v="0.1878922111480251"/>
    <n v="1018"/>
    <n v="4400"/>
    <n v="4400"/>
    <s v="OK"/>
    <n v="1018"/>
    <n v="0.1878922111480251"/>
    <x v="1"/>
    <n v="4400"/>
    <n v="4400"/>
    <n v="1"/>
    <n v="0"/>
    <n v="0"/>
    <s v="N/A"/>
    <n v="0"/>
    <n v="0"/>
    <s v="N/A"/>
    <n v="0"/>
    <n v="0"/>
    <s v="No quoted"/>
    <s v="DP"/>
    <n v="0.5"/>
    <n v="1035"/>
    <x v="0"/>
    <n v="2574"/>
    <x v="19"/>
    <n v="0"/>
    <d v="2023-08-25T00:00:00"/>
    <s v="Paid"/>
    <s v="Past Due"/>
  </r>
  <r>
    <x v="8"/>
    <x v="1"/>
    <s v="CAP5-22144-1655-SC"/>
    <s v="Project"/>
    <s v="PO2301033"/>
    <s v="Pending"/>
    <x v="4"/>
    <x v="3"/>
    <x v="1"/>
    <s v="-"/>
    <s v="-"/>
    <s v="-"/>
    <s v="-"/>
    <s v="-"/>
    <s v="-"/>
    <m/>
    <x v="1"/>
    <s v="-"/>
    <s v="-"/>
    <s v="-"/>
    <s v="-"/>
    <s v="-"/>
    <s v="-"/>
    <s v="-"/>
    <s v="-"/>
    <s v="-"/>
    <s v="-"/>
    <s v="-"/>
    <s v="-"/>
    <s v="Delivery"/>
    <n v="0.5"/>
    <m/>
    <x v="1"/>
    <n v="2844"/>
    <x v="7"/>
    <n v="30"/>
    <d v="2024-02-29T00:00:00"/>
    <s v="Pending"/>
    <s v="OK"/>
  </r>
  <r>
    <x v="8"/>
    <x v="3"/>
    <s v="PO 45013958809"/>
    <s v="Razón Social"/>
    <s v="PO2301034"/>
    <n v="1841"/>
    <x v="18"/>
    <x v="9"/>
    <x v="27"/>
    <n v="0"/>
    <n v="0"/>
    <n v="1656"/>
    <n v="1656"/>
    <s v="OK"/>
    <n v="0"/>
    <n v="0"/>
    <x v="0"/>
    <n v="1656"/>
    <n v="1656"/>
    <n v="1"/>
    <n v="0"/>
    <n v="0"/>
    <s v="N/A"/>
    <n v="0"/>
    <n v="0"/>
    <s v="N/A"/>
    <n v="0"/>
    <n v="0"/>
    <s v="No quoted"/>
    <s v="Delivery"/>
    <n v="1"/>
    <n v="1044"/>
    <x v="0"/>
    <n v="1656"/>
    <x v="20"/>
    <n v="30"/>
    <d v="2023-10-15T00:00:00"/>
    <s v="Pending"/>
    <s v="Past Due"/>
  </r>
  <r>
    <x v="9"/>
    <x v="0"/>
    <s v="PO 4500031113"/>
    <s v="Debug"/>
    <s v="N/A"/>
    <s v="N/A"/>
    <x v="13"/>
    <x v="8"/>
    <x v="28"/>
    <n v="0.69404242862401933"/>
    <n v="15647.95"/>
    <n v="6898.15"/>
    <n v="2652.92"/>
    <s v="OK"/>
    <n v="19893.18"/>
    <n v="0.88233352996748893"/>
    <x v="0"/>
    <n v="3553.15"/>
    <n v="2176.81"/>
    <n v="0.61264230330833203"/>
    <n v="560"/>
    <n v="476.11"/>
    <n v="0.85019642857142863"/>
    <n v="2785"/>
    <n v="0"/>
    <s v="OK"/>
    <n v="12982"/>
    <n v="0"/>
    <m/>
    <s v="Delivery"/>
    <n v="1"/>
    <n v="1042"/>
    <x v="0"/>
    <n v="22546.095000000001"/>
    <x v="21"/>
    <n v="30"/>
    <d v="2023-10-12T00:00:00"/>
    <s v="Paid"/>
    <s v="Past Due"/>
  </r>
  <r>
    <x v="9"/>
    <x v="4"/>
    <s v="PO 4301338632"/>
    <s v="Project"/>
    <s v="PO2301036-1 "/>
    <s v="Pending"/>
    <x v="19"/>
    <x v="10"/>
    <x v="29"/>
    <n v="0.05"/>
    <n v="485.75"/>
    <n v="9229.25"/>
    <n v="9229.25"/>
    <s v="OK"/>
    <n v="485.75"/>
    <n v="0.05"/>
    <x v="1"/>
    <n v="9229.25"/>
    <n v="9229.25"/>
    <n v="1"/>
    <n v="0"/>
    <n v="0"/>
    <s v="N/A"/>
    <n v="0"/>
    <n v="0"/>
    <s v="N/A"/>
    <n v="9229.25"/>
    <n v="9229.25"/>
    <s v="No quoted"/>
    <s v="Delivery"/>
    <n v="1"/>
    <m/>
    <x v="1"/>
    <n v="9715"/>
    <x v="22"/>
    <n v="30"/>
    <d v="2024-01-22T00:00:00"/>
    <s v="Pending"/>
    <s v="OK"/>
  </r>
  <r>
    <x v="9"/>
    <x v="0"/>
    <s v="PO 503715 "/>
    <s v="n/a"/>
    <s v="N/A"/>
    <s v="N/A"/>
    <x v="16"/>
    <x v="2"/>
    <x v="8"/>
    <n v="1"/>
    <n v="2420"/>
    <n v="0"/>
    <n v="0"/>
    <s v="OK"/>
    <n v="2420"/>
    <n v="1"/>
    <x v="1"/>
    <n v="0"/>
    <n v="0"/>
    <s v="N/A"/>
    <n v="0"/>
    <n v="0"/>
    <s v="N/A"/>
    <n v="0"/>
    <n v="0"/>
    <s v="N/A"/>
    <n v="0"/>
    <n v="0"/>
    <s v="N/A"/>
    <s v="Delivery"/>
    <n v="1"/>
    <n v="1056"/>
    <x v="0"/>
    <n v="2420"/>
    <x v="23"/>
    <n v="30"/>
    <d v="2024-01-05T00:00:00"/>
    <s v="Pending"/>
    <s v="OK"/>
  </r>
  <r>
    <x v="9"/>
    <x v="0"/>
    <s v="PO 4501408571"/>
    <s v="Razón Social"/>
    <s v="PO2301038"/>
    <n v="1852"/>
    <x v="20"/>
    <x v="9"/>
    <x v="30"/>
    <n v="0"/>
    <n v="0"/>
    <n v="55646.1"/>
    <n v="55646.1"/>
    <s v="OK"/>
    <n v="0"/>
    <n v="0"/>
    <x v="0"/>
    <n v="55646.1"/>
    <n v="55646.1"/>
    <n v="1"/>
    <n v="0"/>
    <n v="0"/>
    <s v="N/A"/>
    <n v="0"/>
    <n v="0"/>
    <s v="N/A"/>
    <n v="0"/>
    <n v="0"/>
    <s v="N/A"/>
    <s v="DP"/>
    <n v="0.3"/>
    <n v="1045"/>
    <x v="0"/>
    <n v="16693.829999999998"/>
    <x v="24"/>
    <n v="0"/>
    <d v="2023-10-30T00:00:00"/>
    <s v="Paid"/>
    <s v="Past Due"/>
  </r>
  <r>
    <x v="9"/>
    <x v="0"/>
    <s v="PO 4501408571"/>
    <s v="Razón Social"/>
    <s v="PO2301038"/>
    <n v="1936"/>
    <x v="20"/>
    <x v="9"/>
    <x v="31"/>
    <s v="-"/>
    <s v="-"/>
    <s v="-"/>
    <s v="-"/>
    <s v="-"/>
    <s v="-"/>
    <s v="-"/>
    <x v="0"/>
    <s v="-"/>
    <s v="-"/>
    <s v="-"/>
    <s v="-"/>
    <s v="-"/>
    <s v="-"/>
    <s v="-"/>
    <s v="-"/>
    <s v="-"/>
    <s v="-"/>
    <s v="-"/>
    <s v="-"/>
    <s v="Delivery"/>
    <n v="0.7"/>
    <n v="1054"/>
    <x v="0"/>
    <n v="38952.269999999997"/>
    <x v="25"/>
    <n v="30"/>
    <d v="2024-01-03T00:00:00"/>
    <s v="Pending"/>
    <s v="OK"/>
  </r>
  <r>
    <x v="9"/>
    <x v="0"/>
    <s v="PO 10409"/>
    <s v="n/a"/>
    <s v="N/A"/>
    <s v="N/A"/>
    <x v="0"/>
    <x v="0"/>
    <x v="32"/>
    <n v="0.19214300702671741"/>
    <n v="3388"/>
    <n v="14244.7"/>
    <n v="12290.04"/>
    <s v="OK"/>
    <n v="5342.66"/>
    <n v="0.30299727211374322"/>
    <x v="0"/>
    <n v="11129.7"/>
    <n v="10172.26"/>
    <n v="0.91397432096103215"/>
    <n v="1200"/>
    <n v="656.32"/>
    <n v="0.54693333333333338"/>
    <n v="1915"/>
    <n v="1461.46"/>
    <n v="0.76316449086161886"/>
    <n v="0"/>
    <n v="0"/>
    <s v="N/A"/>
    <s v="Delivery"/>
    <n v="1.0896970232960205E-5"/>
    <n v="1046"/>
    <x v="0"/>
    <n v="0.19214300702671741"/>
    <x v="24"/>
    <n v="30"/>
    <d v="2023-10-25T00:00:00"/>
    <s v="Paid"/>
    <s v="Past Due"/>
  </r>
  <r>
    <x v="9"/>
    <x v="0"/>
    <s v="PO 10409"/>
    <s v="n/a"/>
    <s v="N/A"/>
    <s v="N/A"/>
    <x v="0"/>
    <x v="0"/>
    <x v="1"/>
    <s v="-"/>
    <s v="-"/>
    <s v="-"/>
    <s v="-"/>
    <s v="-"/>
    <s v="-"/>
    <s v="-"/>
    <x v="0"/>
    <s v="-"/>
    <s v="-"/>
    <s v="-"/>
    <s v="-"/>
    <s v="-"/>
    <s v="-"/>
    <s v="-"/>
    <s v="-"/>
    <s v="-"/>
    <s v="-"/>
    <s v="-"/>
    <s v="-"/>
    <s v="Delivery"/>
    <n v="0.3"/>
    <n v="1051"/>
    <x v="0"/>
    <n v="17632.507856992976"/>
    <x v="26"/>
    <n v="30"/>
    <d v="2023-11-30T00:00:00"/>
    <s v="Pending"/>
    <s v="Past Due"/>
  </r>
  <r>
    <x v="10"/>
    <x v="0"/>
    <s v="PO C-10002436705"/>
    <s v="n/a"/>
    <s v="N/A"/>
    <s v="N/A"/>
    <x v="21"/>
    <x v="5"/>
    <x v="33"/>
    <n v="0.38676425817067311"/>
    <n v="13999.759999999998"/>
    <n v="22197.38"/>
    <n v="17194.040000000005"/>
    <s v="OK"/>
    <n v="19003.099999999995"/>
    <n v="0.52498899084292283"/>
    <x v="1"/>
    <n v="21507.38"/>
    <n v="17194.040000000005"/>
    <n v="0.79944837539486469"/>
    <n v="690"/>
    <n v="0"/>
    <n v="0"/>
    <n v="0"/>
    <n v="0"/>
    <s v="N/A"/>
    <n v="0"/>
    <n v="0"/>
    <s v="N/A"/>
    <s v="Delivery"/>
    <n v="1"/>
    <m/>
    <x v="1"/>
    <n v="36197.14"/>
    <x v="27"/>
    <n v="30"/>
    <d v="2024-02-19T00:00:00"/>
    <s v="Pending"/>
    <s v="OK"/>
  </r>
  <r>
    <x v="10"/>
    <x v="0"/>
    <s v="PO 454367686 "/>
    <s v="n/a"/>
    <s v="N/A"/>
    <s v="N/A"/>
    <x v="22"/>
    <x v="11"/>
    <x v="34"/>
    <n v="0.3773976158139945"/>
    <n v="45861.63"/>
    <n v="75659.09"/>
    <n v="0"/>
    <s v="OK"/>
    <n v="121520.72"/>
    <n v="1"/>
    <x v="1"/>
    <n v="72454.09"/>
    <n v="0"/>
    <n v="0"/>
    <n v="1600"/>
    <n v="0"/>
    <n v="0"/>
    <n v="1605"/>
    <n v="0"/>
    <n v="0"/>
    <n v="0"/>
    <n v="0"/>
    <s v="N/A"/>
    <s v="Delivery"/>
    <n v="1"/>
    <m/>
    <x v="1"/>
    <n v="121520.72"/>
    <x v="28"/>
    <n v="90"/>
    <d v="2024-05-20T00:00:00"/>
    <s v="Pending"/>
    <s v="OK"/>
  </r>
  <r>
    <x v="11"/>
    <x v="3"/>
    <s v="PO 4501435032 "/>
    <s v="Project"/>
    <s v="PO2301042"/>
    <s v="N/A"/>
    <x v="23"/>
    <x v="9"/>
    <x v="35"/>
    <n v="0.13043087001907797"/>
    <n v="217.41000000000031"/>
    <n v="1449.4499999999998"/>
    <n v="1449.45"/>
    <s v="OK"/>
    <n v="217.41000000000008"/>
    <n v="0.13043087001907783"/>
    <x v="0"/>
    <n v="1449.45"/>
    <n v="1449.45"/>
    <n v="1"/>
    <n v="0"/>
    <n v="0"/>
    <s v="N/A"/>
    <n v="0"/>
    <n v="0"/>
    <s v="N/A"/>
    <n v="0"/>
    <n v="0"/>
    <s v="N/A"/>
    <s v="Delivery"/>
    <n v="1"/>
    <n v="1052"/>
    <x v="0"/>
    <n v="1666.8600000000001"/>
    <x v="29"/>
    <n v="30"/>
    <d v="2023-12-16T00:00:00"/>
    <s v="Pending"/>
    <s v="Past Due"/>
  </r>
  <r>
    <x v="11"/>
    <x v="0"/>
    <s v="PO 505614"/>
    <s v="n/a"/>
    <s v="N/A"/>
    <s v="N/A"/>
    <x v="24"/>
    <x v="2"/>
    <x v="36"/>
    <n v="0.45326621843747922"/>
    <n v="22129.25"/>
    <n v="26692.5"/>
    <n v="0"/>
    <s v="OK"/>
    <n v="48821.75"/>
    <n v="1"/>
    <x v="1"/>
    <n v="26042.5"/>
    <n v="0"/>
    <n v="0"/>
    <n v="650"/>
    <n v="0"/>
    <n v="0"/>
    <n v="0"/>
    <n v="0"/>
    <s v="N/A"/>
    <n v="14316.5"/>
    <n v="0"/>
    <s v="N/A"/>
    <s v="Delivery"/>
    <n v="1"/>
    <m/>
    <x v="1"/>
    <n v="48821.75"/>
    <x v="7"/>
    <n v="30"/>
    <d v="2024-02-29T00:00:00"/>
    <s v="Pending"/>
    <s v="OK"/>
  </r>
  <r>
    <x v="11"/>
    <x v="2"/>
    <s v="PO 505673"/>
    <s v="Project"/>
    <s v="PO2301043"/>
    <s v="Pending"/>
    <x v="25"/>
    <x v="2"/>
    <x v="37"/>
    <n v="0.13043492766689596"/>
    <n v="5082.3800000000047"/>
    <n v="33882.49"/>
    <n v="33882.49"/>
    <s v="OK"/>
    <n v="5082.3800000000047"/>
    <n v="0.13043492766689596"/>
    <x v="1"/>
    <n v="33882.49"/>
    <n v="33882.49"/>
    <n v="1"/>
    <n v="0"/>
    <n v="0"/>
    <s v="N/A"/>
    <n v="0"/>
    <n v="0"/>
    <s v="N/A"/>
    <n v="0"/>
    <n v="0"/>
    <s v="N/A"/>
    <s v="Delivery"/>
    <n v="1"/>
    <m/>
    <x v="1"/>
    <n v="38964.870000000003"/>
    <x v="30"/>
    <n v="30"/>
    <d v="2024-04-14T00:00:00"/>
    <s v="Pending"/>
    <s v="OK"/>
  </r>
  <r>
    <x v="11"/>
    <x v="3"/>
    <s v="PO100243"/>
    <s v="n/a"/>
    <s v="N/A"/>
    <s v="N/A"/>
    <x v="26"/>
    <x v="6"/>
    <x v="38"/>
    <n v="0.14056120232820779"/>
    <n v="16.18"/>
    <n v="98.93"/>
    <n v="73.97999999999999"/>
    <s v="OK"/>
    <n v="41.130000000000017"/>
    <n v="0.35731039874902282"/>
    <x v="0"/>
    <n v="50.4"/>
    <n v="50.4"/>
    <n v="1"/>
    <n v="45"/>
    <n v="23.58"/>
    <n v="0.52399999999999991"/>
    <n v="0"/>
    <n v="0"/>
    <s v="N/A"/>
    <n v="0"/>
    <n v="0"/>
    <s v="N/A"/>
    <s v="Delivery"/>
    <n v="1"/>
    <n v="1053"/>
    <x v="0"/>
    <n v="115.11"/>
    <x v="31"/>
    <n v="30"/>
    <d v="2023-12-22T00:00:00"/>
    <s v="Pending"/>
    <s v="OK"/>
  </r>
  <r>
    <x v="11"/>
    <x v="2"/>
    <s v="PO 4510690083"/>
    <s v="n/a"/>
    <s v="N/A"/>
    <s v="N/A"/>
    <x v="27"/>
    <x v="12"/>
    <x v="39"/>
    <n v="0.55480659530921239"/>
    <n v="15483.72"/>
    <n v="12424.6"/>
    <n v="4900.6499999999987"/>
    <s v="OK"/>
    <n v="23007.670000000002"/>
    <n v="0.82440182712538779"/>
    <x v="1"/>
    <n v="12165"/>
    <n v="4900.6499999999987"/>
    <n v="0.40284833538840925"/>
    <n v="259.60000000000002"/>
    <n v="0"/>
    <n v="0"/>
    <n v="0"/>
    <n v="0"/>
    <s v="N/A"/>
    <n v="0"/>
    <n v="0"/>
    <s v="N/A"/>
    <s v="Delivery"/>
    <n v="1"/>
    <m/>
    <x v="1"/>
    <n v="27908.32"/>
    <x v="7"/>
    <n v="60"/>
    <d v="2024-03-30T00:00:00"/>
    <s v="Pending"/>
    <s v="OK"/>
  </r>
  <r>
    <x v="11"/>
    <x v="2"/>
    <s v="PO 506168"/>
    <s v="Project"/>
    <s v="PO2301049"/>
    <s v="Pending"/>
    <x v="28"/>
    <x v="2"/>
    <x v="40"/>
    <n v="0.13043526007434614"/>
    <n v="1900.3999999999996"/>
    <n v="12669.28"/>
    <n v="12669.28"/>
    <s v="OK"/>
    <n v="1900.3999999999996"/>
    <n v="0.13043526007434614"/>
    <x v="1"/>
    <n v="12669.28"/>
    <n v="12669.28"/>
    <n v="1"/>
    <n v="0"/>
    <n v="0"/>
    <s v="N/A"/>
    <n v="0"/>
    <n v="0"/>
    <s v="N/A"/>
    <n v="0"/>
    <n v="0"/>
    <s v="N/A"/>
    <s v="Delivery"/>
    <n v="1"/>
    <m/>
    <x v="1"/>
    <n v="14569.68"/>
    <x v="32"/>
    <n v="30"/>
    <d v="2024-03-16T00:00:00"/>
    <s v="Pending"/>
    <s v="OK"/>
  </r>
  <r>
    <x v="12"/>
    <x v="0"/>
    <s v="PO 506410"/>
    <s v="n/a"/>
    <s v="N/A"/>
    <s v="N/A"/>
    <x v="29"/>
    <x v="2"/>
    <x v="41"/>
    <n v="0.41550380081307492"/>
    <n v="10114.259999999998"/>
    <n v="14227.9"/>
    <n v="0"/>
    <s v="OK"/>
    <n v="24342.159999999996"/>
    <n v="1"/>
    <x v="1"/>
    <n v="13677.9"/>
    <n v="0"/>
    <n v="0"/>
    <n v="550"/>
    <n v="0"/>
    <s v="N/A"/>
    <n v="0"/>
    <n v="0"/>
    <s v="N/A"/>
    <n v="0"/>
    <n v="0"/>
    <s v="N/A"/>
    <s v="Delivery"/>
    <n v="1"/>
    <m/>
    <x v="1"/>
    <n v="24342.159999999996"/>
    <x v="33"/>
    <n v="30"/>
    <d v="2024-03-11T00:00:00"/>
    <s v="Pending"/>
    <s v="OK"/>
  </r>
  <r>
    <x v="12"/>
    <x v="2"/>
    <s v="PO 506723"/>
    <s v="Project"/>
    <s v="PO2301051"/>
    <s v="Pending"/>
    <x v="30"/>
    <x v="2"/>
    <x v="42"/>
    <n v="0.13043480349268416"/>
    <n v="5431.0299999999988"/>
    <n v="36206.86"/>
    <n v="36206.86"/>
    <s v="OK"/>
    <n v="5431.0299999999988"/>
    <n v="0.13043480349268416"/>
    <x v="1"/>
    <n v="36206.86"/>
    <n v="36206.86"/>
    <n v="1"/>
    <n v="0"/>
    <n v="0"/>
    <s v="N/A"/>
    <n v="0"/>
    <n v="0"/>
    <s v="N/A"/>
    <n v="0"/>
    <n v="0"/>
    <s v="N/A"/>
    <s v="Delivery"/>
    <n v="1"/>
    <m/>
    <x v="1"/>
    <n v="41637.89"/>
    <x v="34"/>
    <n v="30"/>
    <d v="2024-03-30T00:00:00"/>
    <s v="Pending"/>
    <s v="OK"/>
  </r>
  <r>
    <x v="13"/>
    <x v="5"/>
    <m/>
    <m/>
    <m/>
    <m/>
    <x v="31"/>
    <x v="13"/>
    <x v="31"/>
    <m/>
    <m/>
    <m/>
    <m/>
    <m/>
    <m/>
    <m/>
    <x v="2"/>
    <m/>
    <m/>
    <m/>
    <m/>
    <m/>
    <m/>
    <m/>
    <m/>
    <m/>
    <m/>
    <m/>
    <m/>
    <m/>
    <m/>
    <m/>
    <x v="2"/>
    <m/>
    <x v="35"/>
    <m/>
    <m/>
    <m/>
    <m/>
  </r>
  <r>
    <x v="13"/>
    <x v="5"/>
    <m/>
    <m/>
    <m/>
    <m/>
    <x v="31"/>
    <x v="13"/>
    <x v="31"/>
    <m/>
    <m/>
    <m/>
    <m/>
    <m/>
    <m/>
    <m/>
    <x v="2"/>
    <m/>
    <m/>
    <m/>
    <m/>
    <m/>
    <m/>
    <m/>
    <m/>
    <m/>
    <m/>
    <m/>
    <m/>
    <m/>
    <m/>
    <m/>
    <x v="2"/>
    <m/>
    <x v="35"/>
    <m/>
    <m/>
    <m/>
    <m/>
  </r>
  <r>
    <x v="13"/>
    <x v="5"/>
    <m/>
    <m/>
    <m/>
    <m/>
    <x v="31"/>
    <x v="13"/>
    <x v="31"/>
    <m/>
    <m/>
    <m/>
    <m/>
    <m/>
    <m/>
    <m/>
    <x v="2"/>
    <m/>
    <m/>
    <m/>
    <m/>
    <m/>
    <m/>
    <m/>
    <m/>
    <m/>
    <m/>
    <m/>
    <m/>
    <m/>
    <m/>
    <m/>
    <x v="2"/>
    <m/>
    <x v="35"/>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6">
  <r>
    <x v="0"/>
    <x v="0"/>
    <s v="P10409"/>
    <s v="Design"/>
    <s v="N/A"/>
    <s v="N/A"/>
    <s v="IBTI-22051001-Shasta Patch DMB0001P"/>
    <x v="0"/>
    <x v="0"/>
    <x v="0"/>
    <n v="16868"/>
    <n v="37274.199999999997"/>
    <x v="0"/>
    <s v="OK"/>
    <x v="0"/>
    <x v="0"/>
    <s v="Closed"/>
    <n v="27319.200000000001"/>
    <n v="28982.5"/>
    <n v="1.0608839204661922"/>
    <n v="4670"/>
    <n v="2600.58"/>
    <n v="0.55686937901498923"/>
    <n v="5285"/>
    <n v="4665.88"/>
    <n v="0.88285335856196789"/>
    <m/>
    <m/>
    <m/>
    <s v="DP"/>
    <n v="0.4"/>
    <n v="1007"/>
    <x v="0"/>
    <n v="21656.880000000001"/>
    <x v="0"/>
    <n v="0"/>
    <n v="44928"/>
    <x v="0"/>
    <x v="0"/>
  </r>
  <r>
    <x v="0"/>
    <x v="0"/>
    <s v="P10409"/>
    <s v="Design"/>
    <s v="N/A"/>
    <s v="N/A"/>
    <s v="IBTI-22051001-Shasta Patch DMB0001P"/>
    <x v="0"/>
    <x v="1"/>
    <x v="1"/>
    <s v="-"/>
    <s v="-"/>
    <x v="1"/>
    <s v="-"/>
    <x v="1"/>
    <x v="1"/>
    <s v="Closed"/>
    <s v="-"/>
    <s v="-"/>
    <s v="-"/>
    <s v="-"/>
    <s v="-"/>
    <s v="-"/>
    <s v="-"/>
    <s v="-"/>
    <s v="-"/>
    <s v="-"/>
    <s v="-"/>
    <s v="-"/>
    <s v="Delivery"/>
    <n v="0.6"/>
    <n v="1028"/>
    <x v="0"/>
    <n v="32485.32"/>
    <x v="1"/>
    <n v="30"/>
    <n v="45157"/>
    <x v="0"/>
    <x v="0"/>
  </r>
  <r>
    <x v="0"/>
    <x v="0"/>
    <s v="P10410"/>
    <s v="Design"/>
    <s v="N/A"/>
    <s v="N/A"/>
    <s v="IBTI-22051001-Shasta Patch DMB0001P"/>
    <x v="0"/>
    <x v="2"/>
    <x v="2"/>
    <n v="14531.76"/>
    <n v="30694.21"/>
    <x v="2"/>
    <s v="NOT OK"/>
    <x v="2"/>
    <x v="2"/>
    <s v="Closed"/>
    <n v="26719.21"/>
    <n v="30472.5"/>
    <n v="1.1404715932843823"/>
    <n v="2400"/>
    <n v="3951.43"/>
    <n v="1.6464291666666666"/>
    <n v="1575"/>
    <n v="5003.4399999999996"/>
    <n v="3.1767873015873014"/>
    <m/>
    <m/>
    <m/>
    <s v="DP"/>
    <n v="0.4"/>
    <n v="1008"/>
    <x v="0"/>
    <n v="18090.39"/>
    <x v="0"/>
    <n v="0"/>
    <n v="44928"/>
    <x v="0"/>
    <x v="0"/>
  </r>
  <r>
    <x v="0"/>
    <x v="0"/>
    <s v="P10410"/>
    <s v="Design"/>
    <s v="N/A"/>
    <s v="N/A"/>
    <s v="IBTI-22051001-Shasta Patch DMB0001P"/>
    <x v="0"/>
    <x v="1"/>
    <x v="1"/>
    <s v="-"/>
    <s v="-"/>
    <x v="1"/>
    <s v="-"/>
    <x v="1"/>
    <x v="1"/>
    <s v="Closed"/>
    <s v="-"/>
    <s v="-"/>
    <s v="-"/>
    <s v="-"/>
    <s v="-"/>
    <s v="-"/>
    <s v="-"/>
    <s v="-"/>
    <s v="-"/>
    <s v="-"/>
    <s v="-"/>
    <s v="-"/>
    <s v="Delivery"/>
    <n v="0.6"/>
    <n v="1034"/>
    <x v="0"/>
    <n v="27135.58"/>
    <x v="2"/>
    <n v="30"/>
    <n v="45186"/>
    <x v="1"/>
    <x v="0"/>
  </r>
  <r>
    <x v="1"/>
    <x v="0"/>
    <s v="PO 35748"/>
    <s v="Design"/>
    <s v="N/A"/>
    <s v="N/A"/>
    <s v="IBTI-23029001 Neptune 13392 Data"/>
    <x v="1"/>
    <x v="3"/>
    <x v="3"/>
    <n v="8709.7800000000007"/>
    <n v="1037.69"/>
    <x v="3"/>
    <s v="OK"/>
    <x v="3"/>
    <x v="3"/>
    <s v="Closed"/>
    <n v="270.69"/>
    <n v="844"/>
    <n v="3.1179578115187114"/>
    <n v="0"/>
    <n v="85.36"/>
    <s v="No budget"/>
    <n v="0"/>
    <n v="0"/>
    <s v="N/A"/>
    <m/>
    <m/>
    <m/>
    <s v="Delivery"/>
    <n v="1"/>
    <n v="1047"/>
    <x v="0"/>
    <n v="9747.4699999999993"/>
    <x v="3"/>
    <n v="30"/>
    <n v="45226"/>
    <x v="1"/>
    <x v="0"/>
  </r>
  <r>
    <x v="2"/>
    <x v="0"/>
    <s v="PO 494919"/>
    <s v="Design"/>
    <s v="N/A"/>
    <s v="N/A"/>
    <s v="IBTI-23021000 4534705 - PA08016-1"/>
    <x v="2"/>
    <x v="4"/>
    <x v="4"/>
    <n v="30615.45"/>
    <n v="35591.9"/>
    <x v="4"/>
    <s v="OK"/>
    <x v="4"/>
    <x v="4"/>
    <s v="Closed"/>
    <n v="34016.9"/>
    <n v="29790.68"/>
    <n v="0.87576116577348317"/>
    <n v="0"/>
    <n v="475.83"/>
    <s v="No budget"/>
    <n v="1575"/>
    <n v="0"/>
    <n v="0"/>
    <m/>
    <m/>
    <m/>
    <s v="Delivery"/>
    <n v="1"/>
    <n v="1020"/>
    <x v="0"/>
    <n v="66207.350000000006"/>
    <x v="4"/>
    <n v="30"/>
    <n v="45121"/>
    <x v="0"/>
    <x v="0"/>
  </r>
  <r>
    <x v="2"/>
    <x v="0"/>
    <s v="PO 494969"/>
    <s v="Install"/>
    <s v="N/A"/>
    <s v="N/A"/>
    <s v="IBTI-23021001 Enginering Hours Crestron 494969"/>
    <x v="2"/>
    <x v="5"/>
    <x v="5"/>
    <n v="2200"/>
    <n v="0"/>
    <x v="5"/>
    <s v="OK"/>
    <x v="5"/>
    <x v="5"/>
    <s v="Closed"/>
    <n v="0"/>
    <n v="0"/>
    <s v="N/A"/>
    <n v="0"/>
    <n v="0"/>
    <s v="N/A"/>
    <n v="0"/>
    <n v="0"/>
    <s v="N/A"/>
    <n v="20"/>
    <n v="20"/>
    <n v="1"/>
    <s v="Delivery"/>
    <n v="1"/>
    <n v="1014"/>
    <x v="0"/>
    <n v="2200"/>
    <x v="5"/>
    <n v="30"/>
    <n v="45029"/>
    <x v="0"/>
    <x v="0"/>
  </r>
  <r>
    <x v="3"/>
    <x v="1"/>
    <s v="PO CAP5-21221-1655-SC"/>
    <s v="Project"/>
    <s v="PO2301005"/>
    <n v="1632"/>
    <s v="IBTF-23054001 FCT Maverick &amp; Puffin"/>
    <x v="3"/>
    <x v="6"/>
    <x v="6"/>
    <n v="4689.1301399999993"/>
    <n v="125355.76"/>
    <x v="6"/>
    <s v="OK"/>
    <x v="6"/>
    <x v="6"/>
    <s v="Open"/>
    <n v="125355.76"/>
    <n v="125355.76"/>
    <n v="1"/>
    <n v="0"/>
    <n v="0"/>
    <s v="N/A"/>
    <n v="0"/>
    <n v="0"/>
    <s v="N/A"/>
    <n v="0"/>
    <n v="0"/>
    <s v="No quoted"/>
    <s v="DP"/>
    <n v="0.5"/>
    <n v="1013"/>
    <x v="0"/>
    <n v="65022.445"/>
    <x v="6"/>
    <n v="0"/>
    <n v="44986"/>
    <x v="0"/>
    <x v="0"/>
  </r>
  <r>
    <x v="3"/>
    <x v="1"/>
    <s v="PO CAP5-21221-1655-SC"/>
    <s v="Project"/>
    <s v="PO2301005"/>
    <s v="Pending"/>
    <s v="IBTF-23054001 FCT Maverick &amp; Puffin"/>
    <x v="3"/>
    <x v="1"/>
    <x v="1"/>
    <s v="-"/>
    <s v="-"/>
    <x v="1"/>
    <s v="-"/>
    <x v="1"/>
    <x v="1"/>
    <s v="Open"/>
    <s v="-"/>
    <s v="-"/>
    <s v="-"/>
    <s v="-"/>
    <s v="-"/>
    <s v="-"/>
    <s v="-"/>
    <s v="-"/>
    <s v="-"/>
    <s v="-"/>
    <s v="-"/>
    <s v="-"/>
    <s v="Delivery"/>
    <n v="0.5"/>
    <m/>
    <x v="1"/>
    <n v="65022.445"/>
    <x v="7"/>
    <n v="30"/>
    <n v="45380"/>
    <x v="1"/>
    <x v="1"/>
  </r>
  <r>
    <x v="3"/>
    <x v="2"/>
    <s v="PO #: 310007970"/>
    <s v="Project"/>
    <s v="PO2301008"/>
    <n v="1631"/>
    <s v="IBTFIX-23053001 Nvidia NX Programming Fixture"/>
    <x v="4"/>
    <x v="7"/>
    <x v="7"/>
    <n v="472.81"/>
    <n v="13631.37"/>
    <x v="7"/>
    <s v="OK"/>
    <x v="7"/>
    <x v="7"/>
    <s v="Closed"/>
    <n v="13631.37"/>
    <n v="13631.37"/>
    <n v="1"/>
    <n v="0"/>
    <n v="0"/>
    <s v="N/A"/>
    <n v="0"/>
    <n v="0"/>
    <s v="N/A"/>
    <n v="0"/>
    <n v="0"/>
    <s v="No quoted"/>
    <s v="DP"/>
    <n v="0.5"/>
    <n v="1015"/>
    <x v="0"/>
    <n v="7052.09"/>
    <x v="8"/>
    <n v="0"/>
    <n v="45001"/>
    <x v="0"/>
    <x v="0"/>
  </r>
  <r>
    <x v="3"/>
    <x v="2"/>
    <s v="PO #: 310007970"/>
    <s v="Project"/>
    <s v="PO2301008"/>
    <n v="1718"/>
    <s v="IBTFIX-23053001 Nvidia NX Programming Fixture"/>
    <x v="4"/>
    <x v="1"/>
    <x v="1"/>
    <s v="-"/>
    <s v="-"/>
    <x v="1"/>
    <s v="-"/>
    <x v="1"/>
    <x v="1"/>
    <s v="Closed"/>
    <s v="-"/>
    <s v="-"/>
    <s v="-"/>
    <s v="-"/>
    <s v="-"/>
    <s v="-"/>
    <s v="-"/>
    <s v="-"/>
    <s v="-"/>
    <s v="-"/>
    <s v="-"/>
    <s v="-"/>
    <s v="Delivery"/>
    <n v="0.5"/>
    <n v="1021"/>
    <x v="0"/>
    <n v="7052.09"/>
    <x v="9"/>
    <n v="30"/>
    <n v="45117"/>
    <x v="0"/>
    <x v="0"/>
  </r>
  <r>
    <x v="3"/>
    <x v="0"/>
    <s v="PO 496034"/>
    <s v="Install"/>
    <s v="N/A"/>
    <s v="N/A"/>
    <s v="IBTI-23021001 Enginering Hours Crestron 494969"/>
    <x v="2"/>
    <x v="8"/>
    <x v="5"/>
    <n v="2420"/>
    <n v="0"/>
    <x v="5"/>
    <s v="OK"/>
    <x v="8"/>
    <x v="5"/>
    <s v="Closed"/>
    <n v="0"/>
    <n v="0"/>
    <s v="N/A"/>
    <n v="0"/>
    <n v="0"/>
    <s v="N/A"/>
    <n v="0"/>
    <n v="0"/>
    <s v="N/A"/>
    <n v="33"/>
    <n v="33"/>
    <n v="1"/>
    <s v="Delivery"/>
    <n v="0.7"/>
    <n v="1016"/>
    <x v="0"/>
    <n v="1573"/>
    <x v="8"/>
    <n v="30"/>
    <n v="45031"/>
    <x v="0"/>
    <x v="0"/>
  </r>
  <r>
    <x v="3"/>
    <x v="0"/>
    <s v="PO 496034"/>
    <s v="Install"/>
    <s v="N/A"/>
    <s v="N/A"/>
    <s v="IBTI-23021001 Enginering Hours Crestron 494969"/>
    <x v="2"/>
    <x v="1"/>
    <x v="1"/>
    <s v="-"/>
    <s v="-"/>
    <x v="1"/>
    <s v="-"/>
    <x v="1"/>
    <x v="1"/>
    <s v="Closed"/>
    <s v="-"/>
    <s v="-"/>
    <s v="-"/>
    <s v="-"/>
    <s v="-"/>
    <s v="-"/>
    <s v="-"/>
    <s v="-"/>
    <s v="-"/>
    <s v="-"/>
    <s v="-"/>
    <s v="-"/>
    <s v="Delivery"/>
    <n v="0.3"/>
    <n v="1022"/>
    <x v="0"/>
    <n v="847"/>
    <x v="10"/>
    <n v="30"/>
    <n v="45109"/>
    <x v="0"/>
    <x v="0"/>
  </r>
  <r>
    <x v="4"/>
    <x v="0"/>
    <s v="PO C10002158192"/>
    <s v="Design"/>
    <s v="N/A"/>
    <s v="N/A"/>
    <s v="IBTI-23055001 Eaton 70C2470G01 Project- QxQ"/>
    <x v="5"/>
    <x v="9"/>
    <x v="8"/>
    <n v="8211.86"/>
    <n v="13177.11"/>
    <x v="8"/>
    <s v="OK"/>
    <x v="9"/>
    <x v="8"/>
    <s v="Closed"/>
    <n v="12687.11"/>
    <n v="12285.2"/>
    <n v="0.9683213907659034"/>
    <n v="490"/>
    <n v="514.86"/>
    <n v="1.050734693877551"/>
    <n v="0"/>
    <n v="0"/>
    <s v="N/A"/>
    <n v="41.45"/>
    <n v="6"/>
    <n v="0.14475271411338961"/>
    <s v="Delivery"/>
    <n v="1"/>
    <n v="1023"/>
    <x v="0"/>
    <n v="21388.97"/>
    <x v="10"/>
    <n v="30"/>
    <n v="45154"/>
    <x v="0"/>
    <x v="0"/>
  </r>
  <r>
    <x v="4"/>
    <x v="0"/>
    <s v="PO 497180"/>
    <s v="Install"/>
    <s v="N/A"/>
    <s v="N/A"/>
    <s v="IBTI-23021002 PA07891-14532008 Apply SOW to ISP"/>
    <x v="2"/>
    <x v="10"/>
    <x v="9"/>
    <n v="2420"/>
    <n v="39"/>
    <x v="9"/>
    <s v="NOT OK"/>
    <x v="10"/>
    <x v="9"/>
    <s v="Closed"/>
    <n v="39"/>
    <n v="42.01"/>
    <n v="1.0771794871794871"/>
    <n v="0"/>
    <n v="0"/>
    <s v="N/A"/>
    <n v="0"/>
    <n v="0"/>
    <s v="N/A"/>
    <n v="20"/>
    <n v="20"/>
    <n v="1"/>
    <s v="Delivery"/>
    <n v="1"/>
    <n v="1024"/>
    <x v="0"/>
    <n v="2459"/>
    <x v="10"/>
    <n v="30"/>
    <n v="45109"/>
    <x v="0"/>
    <x v="0"/>
  </r>
  <r>
    <x v="4"/>
    <x v="0"/>
    <s v="PO 497555"/>
    <s v="Design"/>
    <s v="N/A"/>
    <s v="N/A"/>
    <s v="IBTI-23021003 4534171 PA07984-1"/>
    <x v="2"/>
    <x v="11"/>
    <x v="10"/>
    <n v="25883.73"/>
    <n v="29361.5"/>
    <x v="10"/>
    <s v="NOT OK"/>
    <x v="11"/>
    <x v="10"/>
    <s v="Closed"/>
    <n v="28761.5"/>
    <n v="31484.39"/>
    <n v="1.0946713488517636"/>
    <n v="600"/>
    <n v="377.4"/>
    <n v="0.629"/>
    <n v="0"/>
    <n v="0"/>
    <s v="N/A"/>
    <m/>
    <m/>
    <m/>
    <s v="Delivery"/>
    <n v="1"/>
    <n v="1029"/>
    <x v="0"/>
    <n v="55245.23"/>
    <x v="1"/>
    <n v="30"/>
    <n v="45180"/>
    <x v="0"/>
    <x v="0"/>
  </r>
  <r>
    <x v="5"/>
    <x v="2"/>
    <s v="PO0000351"/>
    <s v="Project"/>
    <s v="PO2301016"/>
    <n v="1706"/>
    <s v="IBTFIX-23059001 ASM-0051 Cap Board 24 UUT"/>
    <x v="6"/>
    <x v="12"/>
    <x v="11"/>
    <n v="3415.51"/>
    <n v="17077.55"/>
    <x v="11"/>
    <s v="OK"/>
    <x v="12"/>
    <x v="11"/>
    <s v="Closed"/>
    <n v="17077.55"/>
    <n v="17077.55"/>
    <n v="1"/>
    <n v="0"/>
    <n v="0"/>
    <s v="N/A"/>
    <n v="0"/>
    <n v="0"/>
    <s v="N/A"/>
    <n v="0"/>
    <n v="0"/>
    <s v="No quoted"/>
    <s v="DP"/>
    <n v="0.3"/>
    <n v="1018"/>
    <x v="0"/>
    <n v="6147.91"/>
    <x v="4"/>
    <n v="0"/>
    <n v="45065"/>
    <x v="0"/>
    <x v="0"/>
  </r>
  <r>
    <x v="5"/>
    <x v="2"/>
    <s v="PO0000351"/>
    <s v="Project"/>
    <s v="N/A"/>
    <n v="1794"/>
    <s v="IBTFIX-23059001 ASM-0051 Cap Board 24 UUT"/>
    <x v="6"/>
    <x v="1"/>
    <x v="1"/>
    <s v="-"/>
    <s v="-"/>
    <x v="1"/>
    <s v="-"/>
    <x v="1"/>
    <x v="1"/>
    <s v="Closed"/>
    <s v="-"/>
    <s v="-"/>
    <s v="-"/>
    <s v="-"/>
    <s v="-"/>
    <s v="-"/>
    <s v="-"/>
    <s v="-"/>
    <s v="-"/>
    <s v="-"/>
    <s v="-"/>
    <s v="-"/>
    <s v="Delivery"/>
    <n v="0.7"/>
    <n v="1031"/>
    <x v="0"/>
    <n v="14345.15"/>
    <x v="11"/>
    <n v="30"/>
    <n v="45180"/>
    <x v="0"/>
    <x v="0"/>
  </r>
  <r>
    <x v="6"/>
    <x v="0"/>
    <s v="PO C10002256704"/>
    <s v="Design"/>
    <s v="N/A"/>
    <s v="N/A"/>
    <s v="IBTI-23055002 ConMet Pascal Project"/>
    <x v="5"/>
    <x v="13"/>
    <x v="12"/>
    <n v="11473.83"/>
    <n v="16945.38"/>
    <x v="12"/>
    <s v="OK"/>
    <x v="13"/>
    <x v="12"/>
    <s v="Closed"/>
    <n v="16745.384615384617"/>
    <n v="15430"/>
    <n v="0.92144793054343321"/>
    <n v="200"/>
    <n v="354"/>
    <n v="1.77"/>
    <n v="0"/>
    <n v="0"/>
    <s v="N/A"/>
    <n v="0"/>
    <n v="0"/>
    <s v="N/A"/>
    <s v="Delivery"/>
    <n v="1"/>
    <n v="1043"/>
    <x v="0"/>
    <n v="28419.21"/>
    <x v="12"/>
    <n v="30"/>
    <n v="45213"/>
    <x v="0"/>
    <x v="0"/>
  </r>
  <r>
    <x v="6"/>
    <x v="0"/>
    <s v="PO 500087"/>
    <s v="Design"/>
    <s v="N/A"/>
    <s v="N/A"/>
    <s v="IBTI-23021004 PA07989-1 RevC &amp; PA07986-1 RevB"/>
    <x v="2"/>
    <x v="14"/>
    <x v="13"/>
    <n v="22449.72"/>
    <n v="24599.05"/>
    <x v="13"/>
    <s v="OK"/>
    <x v="14"/>
    <x v="13"/>
    <s v="Closed"/>
    <n v="23329.053800000002"/>
    <n v="23599.19"/>
    <n v="1.011579389473567"/>
    <n v="1100"/>
    <n v="390"/>
    <n v="0.35454545454545455"/>
    <n v="0"/>
    <n v="0"/>
    <s v="N/A"/>
    <n v="0"/>
    <n v="0"/>
    <s v="N/A"/>
    <s v="Delivery"/>
    <n v="1"/>
    <n v="1039"/>
    <x v="0"/>
    <n v="47048.77"/>
    <x v="13"/>
    <n v="30"/>
    <n v="45210"/>
    <x v="0"/>
    <x v="0"/>
  </r>
  <r>
    <x v="6"/>
    <x v="0"/>
    <s v="PO 81036328"/>
    <s v="Install"/>
    <s v="N/A"/>
    <s v="N/A"/>
    <s v="IBTI-23061001 Discovery ECO for PCA-0408-10"/>
    <x v="7"/>
    <x v="15"/>
    <x v="14"/>
    <n v="6020.6"/>
    <n v="3532"/>
    <x v="14"/>
    <s v="OK"/>
    <x v="15"/>
    <x v="14"/>
    <s v="Closed"/>
    <n v="3232"/>
    <n v="3232"/>
    <n v="1"/>
    <n v="300"/>
    <n v="0"/>
    <n v="0"/>
    <n v="0"/>
    <n v="0"/>
    <s v="N/A"/>
    <n v="0"/>
    <n v="0"/>
    <s v="N/A"/>
    <s v="Delivery"/>
    <n v="1"/>
    <n v="1040"/>
    <x v="0"/>
    <n v="9552.6"/>
    <x v="13"/>
    <n v="45"/>
    <n v="45225"/>
    <x v="0"/>
    <x v="0"/>
  </r>
  <r>
    <x v="6"/>
    <x v="0"/>
    <s v="PO 4500028363"/>
    <s v="Design"/>
    <s v="N/A"/>
    <s v="N/A"/>
    <s v="IBTI-23050001 SCCM Project- QxQ"/>
    <x v="8"/>
    <x v="16"/>
    <x v="15"/>
    <n v="12136.41"/>
    <n v="17130.41"/>
    <x v="15"/>
    <s v="OK"/>
    <x v="16"/>
    <x v="15"/>
    <s v="Closed"/>
    <n v="15780.41"/>
    <n v="15981.85"/>
    <n v="1.0127651943137093"/>
    <n v="500"/>
    <n v="387.23"/>
    <n v="0.77446000000000004"/>
    <n v="850"/>
    <n v="0"/>
    <n v="0"/>
    <n v="0"/>
    <n v="0"/>
    <s v="N/A"/>
    <s v="Delivery"/>
    <n v="1"/>
    <n v="1037"/>
    <x v="0"/>
    <n v="29266.82"/>
    <x v="14"/>
    <n v="30"/>
    <n v="45196"/>
    <x v="0"/>
    <x v="0"/>
  </r>
  <r>
    <x v="6"/>
    <x v="0"/>
    <s v="PO 4500028265"/>
    <s v="Design"/>
    <s v="N/A"/>
    <s v="N/A"/>
    <s v="IBTI-23050002 SWS-LH Project &amp; SWS-RH Project"/>
    <x v="8"/>
    <x v="17"/>
    <x v="16"/>
    <n v="25780.54"/>
    <n v="43146.8"/>
    <x v="5"/>
    <s v="OK"/>
    <x v="17"/>
    <x v="16"/>
    <s v="Open"/>
    <n v="0"/>
    <n v="0"/>
    <s v="N/A"/>
    <n v="0"/>
    <n v="0"/>
    <s v="N/A"/>
    <n v="0"/>
    <n v="0"/>
    <s v="N/A"/>
    <n v="0"/>
    <n v="0"/>
    <s v="N/A"/>
    <s v="Delivery"/>
    <n v="1"/>
    <n v="1060"/>
    <x v="0"/>
    <n v="8516.07"/>
    <x v="15"/>
    <n v="30"/>
    <n v="45323"/>
    <x v="1"/>
    <x v="1"/>
  </r>
  <r>
    <x v="6"/>
    <x v="2"/>
    <s v="PO0000499"/>
    <s v="Project"/>
    <s v="PO2301020"/>
    <n v="1756"/>
    <s v="IBTFIX-23059001 ASM-0051 Cap Board 24 UUT"/>
    <x v="6"/>
    <x v="18"/>
    <x v="17"/>
    <n v="1054.3400000000001"/>
    <n v="2931.71"/>
    <x v="16"/>
    <s v="OK"/>
    <x v="18"/>
    <x v="17"/>
    <s v="Closed"/>
    <n v="2931.71"/>
    <n v="2931.71"/>
    <n v="1"/>
    <n v="0"/>
    <n v="0"/>
    <s v="OK"/>
    <n v="0"/>
    <n v="0"/>
    <s v="N/A"/>
    <n v="0"/>
    <n v="0"/>
    <s v="No quoted"/>
    <s v="DP"/>
    <n v="0.3"/>
    <n v="1026"/>
    <x v="0"/>
    <n v="1195.81"/>
    <x v="16"/>
    <n v="0"/>
    <n v="45105"/>
    <x v="0"/>
    <x v="0"/>
  </r>
  <r>
    <x v="6"/>
    <x v="2"/>
    <s v="PO0000499"/>
    <s v="Project"/>
    <s v="N/A"/>
    <n v="1797"/>
    <s v="IBTFIX-23059001 ASM-0051 Cap Board 24 UUT"/>
    <x v="6"/>
    <x v="1"/>
    <x v="1"/>
    <s v="-"/>
    <s v="-"/>
    <x v="1"/>
    <s v="-"/>
    <x v="1"/>
    <x v="1"/>
    <s v="Closed"/>
    <s v="-"/>
    <s v="-"/>
    <s v="-"/>
    <s v="-"/>
    <s v="-"/>
    <s v="-"/>
    <s v="-"/>
    <s v="-"/>
    <s v="-"/>
    <s v="-"/>
    <s v="-"/>
    <s v="-"/>
    <s v="Delivery"/>
    <n v="0.7"/>
    <n v="1030"/>
    <x v="0"/>
    <n v="2790.24"/>
    <x v="11"/>
    <n v="30"/>
    <n v="45180"/>
    <x v="0"/>
    <x v="0"/>
  </r>
  <r>
    <x v="7"/>
    <x v="0"/>
    <s v="PO 500885"/>
    <s v="Install"/>
    <s v="N/A"/>
    <s v="N/A"/>
    <s v="IBTI-23021005 PA07906A - PA06897C MOD Rework"/>
    <x v="2"/>
    <x v="19"/>
    <x v="18"/>
    <n v="6906.3"/>
    <n v="11221"/>
    <x v="17"/>
    <s v="OK"/>
    <x v="19"/>
    <x v="18"/>
    <s v="Closed"/>
    <n v="12202.3"/>
    <n v="11952.3"/>
    <n v="0.97951205920195372"/>
    <n v="0"/>
    <n v="0"/>
    <s v="N/A"/>
    <n v="0"/>
    <n v="0"/>
    <s v="N/A"/>
    <n v="0"/>
    <n v="0"/>
    <s v="No quoted"/>
    <s v="Delivery"/>
    <n v="1"/>
    <n v="1048"/>
    <x v="0"/>
    <n v="18127.3"/>
    <x v="17"/>
    <n v="30"/>
    <n v="45232"/>
    <x v="1"/>
    <x v="0"/>
  </r>
  <r>
    <x v="8"/>
    <x v="0"/>
    <s v="PO 81036846"/>
    <s v="Install"/>
    <s v="N/A"/>
    <s v="N/A"/>
    <s v="IBTI-23061001 Discovery ECO for PCA-0408-10"/>
    <x v="7"/>
    <x v="20"/>
    <x v="19"/>
    <n v="987.2"/>
    <n v="2468"/>
    <x v="18"/>
    <s v="OK"/>
    <x v="20"/>
    <x v="19"/>
    <s v="Closed"/>
    <n v="2468"/>
    <n v="2468"/>
    <n v="1"/>
    <n v="0"/>
    <n v="0"/>
    <s v="N/A"/>
    <n v="0"/>
    <n v="0"/>
    <s v="N/A"/>
    <n v="0"/>
    <n v="0"/>
    <s v="No quoted"/>
    <s v="Delivery"/>
    <n v="1"/>
    <n v="1041"/>
    <x v="0"/>
    <n v="3455.2"/>
    <x v="13"/>
    <n v="45"/>
    <n v="45225"/>
    <x v="0"/>
    <x v="0"/>
  </r>
  <r>
    <x v="8"/>
    <x v="0"/>
    <s v="PO 501962"/>
    <s v="Install"/>
    <s v="N/A"/>
    <s v="N/A"/>
    <s v="IBTI-23021006 Engineering Hours Creston"/>
    <x v="2"/>
    <x v="21"/>
    <x v="20"/>
    <n v="2200"/>
    <n v="300"/>
    <x v="5"/>
    <s v="OK"/>
    <x v="21"/>
    <x v="5"/>
    <s v="Closed"/>
    <n v="0"/>
    <n v="0"/>
    <s v="N/A"/>
    <n v="0"/>
    <n v="0"/>
    <s v="N/A"/>
    <n v="300"/>
    <n v="0"/>
    <n v="0"/>
    <n v="2200"/>
    <n v="0"/>
    <s v="No quoted"/>
    <s v="Delivery"/>
    <n v="1"/>
    <n v="1036"/>
    <x v="0"/>
    <n v="2500"/>
    <x v="14"/>
    <n v="30"/>
    <n v="45196"/>
    <x v="0"/>
    <x v="0"/>
  </r>
  <r>
    <x v="8"/>
    <x v="0"/>
    <s v="PO 502162"/>
    <s v="n/a"/>
    <s v="N/A"/>
    <s v="N/A"/>
    <s v="IBTI-23021007 4534512-PA08002-1"/>
    <x v="2"/>
    <x v="22"/>
    <x v="21"/>
    <n v="11457.31"/>
    <n v="16902.009999999998"/>
    <x v="19"/>
    <s v="OK"/>
    <x v="22"/>
    <x v="20"/>
    <s v="Closed"/>
    <n v="16252.022500000001"/>
    <n v="16583.05"/>
    <n v="1.020368387996017"/>
    <n v="650"/>
    <n v="398"/>
    <n v="0.61230769230769233"/>
    <n v="0"/>
    <n v="0"/>
    <s v="N/A"/>
    <m/>
    <m/>
    <m/>
    <s v="Delivery"/>
    <n v="1"/>
    <n v="1050"/>
    <x v="0"/>
    <n v="28359.32"/>
    <x v="18"/>
    <n v="30"/>
    <n v="45246"/>
    <x v="1"/>
    <x v="0"/>
  </r>
  <r>
    <x v="8"/>
    <x v="0"/>
    <s v="PO 4500030193"/>
    <s v="Design"/>
    <s v="N/A"/>
    <s v="N/A"/>
    <s v="IBTI-23050002 SWS-LH Project &amp; SWS-RH Project"/>
    <x v="8"/>
    <x v="23"/>
    <x v="22"/>
    <n v="5485.9389999999994"/>
    <n v="3253.1299999999983"/>
    <x v="5"/>
    <s v="OK"/>
    <x v="23"/>
    <x v="21"/>
    <s v="Open"/>
    <m/>
    <m/>
    <m/>
    <m/>
    <m/>
    <m/>
    <m/>
    <m/>
    <m/>
    <m/>
    <m/>
    <m/>
    <s v="Delivery"/>
    <n v="1"/>
    <n v="1059"/>
    <x v="0"/>
    <n v="4840"/>
    <x v="15"/>
    <n v="30"/>
    <n v="45323"/>
    <x v="1"/>
    <x v="1"/>
  </r>
  <r>
    <x v="8"/>
    <x v="1"/>
    <s v="PO CAPMG-22044-1640-SC"/>
    <s v="Project"/>
    <s v="PO2301028"/>
    <n v="1803"/>
    <s v="IBTF-23054001 FCT Maverick &amp; Puffin"/>
    <x v="3"/>
    <x v="24"/>
    <x v="23"/>
    <n v="1547.7400000000007"/>
    <n v="7370.19"/>
    <x v="20"/>
    <s v="OK"/>
    <x v="24"/>
    <x v="22"/>
    <s v="Open"/>
    <n v="7370.19"/>
    <n v="7370.19"/>
    <n v="1"/>
    <n v="0"/>
    <n v="0"/>
    <s v="N/A"/>
    <n v="0"/>
    <n v="0"/>
    <s v="N/A"/>
    <n v="0"/>
    <n v="0"/>
    <s v="No quoted"/>
    <s v="DP"/>
    <n v="0.5"/>
    <n v="1032"/>
    <x v="0"/>
    <n v="4458.9650000000001"/>
    <x v="19"/>
    <n v="0"/>
    <n v="45180"/>
    <x v="0"/>
    <x v="0"/>
  </r>
  <r>
    <x v="8"/>
    <x v="1"/>
    <s v="PO CAPMG-22044-1640-SC"/>
    <s v="Project"/>
    <s v="PO2301028"/>
    <s v="Pending"/>
    <s v="IBTF-23054001 FCT Maverick &amp; Puffin"/>
    <x v="3"/>
    <x v="1"/>
    <x v="1"/>
    <s v="-"/>
    <s v="-"/>
    <x v="1"/>
    <s v="-"/>
    <x v="1"/>
    <x v="1"/>
    <s v="Open"/>
    <s v="-"/>
    <s v="-"/>
    <s v="-"/>
    <s v="-"/>
    <s v="-"/>
    <s v="-"/>
    <s v="-"/>
    <s v="-"/>
    <s v="-"/>
    <s v="-"/>
    <s v="-"/>
    <s v="-"/>
    <s v="Delivery"/>
    <n v="0.5"/>
    <m/>
    <x v="1"/>
    <n v="4458.9650000000001"/>
    <x v="7"/>
    <n v="30"/>
    <n v="45380"/>
    <x v="1"/>
    <x v="1"/>
  </r>
  <r>
    <x v="8"/>
    <x v="0"/>
    <s v="PO 502923"/>
    <s v="n/a"/>
    <s v="N/A"/>
    <s v="N/A"/>
    <s v="IBTI-23021005 PA07906A - PA06897C MOD Rework"/>
    <x v="2"/>
    <x v="25"/>
    <x v="24"/>
    <n v="0"/>
    <n v="3323.05"/>
    <x v="21"/>
    <s v="OK"/>
    <x v="25"/>
    <x v="16"/>
    <s v="Closed"/>
    <n v="3323.05"/>
    <n v="3323.05"/>
    <n v="1"/>
    <n v="0"/>
    <n v="0"/>
    <s v="N/A"/>
    <n v="0"/>
    <n v="0"/>
    <s v="N/A"/>
    <n v="0"/>
    <n v="0"/>
    <s v="No quoted"/>
    <s v="Delivery"/>
    <n v="1"/>
    <n v="1049"/>
    <x v="0"/>
    <n v="3323.05"/>
    <x v="17"/>
    <n v="30"/>
    <n v="45232"/>
    <x v="1"/>
    <x v="0"/>
  </r>
  <r>
    <x v="8"/>
    <x v="1"/>
    <s v="PO CAP5-22144-1655-SC"/>
    <s v="Project"/>
    <s v="PO2301033"/>
    <n v="1825"/>
    <s v="IBTF-23054001 FCT Maverick &amp; Puffin"/>
    <x v="3"/>
    <x v="26"/>
    <x v="25"/>
    <n v="1018"/>
    <n v="4400"/>
    <x v="22"/>
    <s v="OK"/>
    <x v="26"/>
    <x v="23"/>
    <s v="Open"/>
    <n v="4400"/>
    <n v="4400"/>
    <n v="1"/>
    <n v="0"/>
    <n v="0"/>
    <s v="N/A"/>
    <n v="0"/>
    <n v="0"/>
    <s v="N/A"/>
    <n v="0"/>
    <n v="0"/>
    <s v="No quoted"/>
    <s v="DP"/>
    <n v="0.5"/>
    <n v="1035"/>
    <x v="0"/>
    <n v="2574"/>
    <x v="20"/>
    <n v="0"/>
    <n v="45163"/>
    <x v="0"/>
    <x v="0"/>
  </r>
  <r>
    <x v="8"/>
    <x v="1"/>
    <s v="PO CAP5-22144-1655-SC"/>
    <s v="Project"/>
    <s v="PO2301033"/>
    <s v="Pending"/>
    <s v="IBTF-23054001 FCT Maverick &amp; Puffin"/>
    <x v="3"/>
    <x v="1"/>
    <x v="1"/>
    <s v="-"/>
    <s v="-"/>
    <x v="1"/>
    <s v="-"/>
    <x v="1"/>
    <x v="1"/>
    <s v="Open"/>
    <s v="-"/>
    <s v="-"/>
    <s v="-"/>
    <s v="-"/>
    <s v="-"/>
    <s v="-"/>
    <s v="-"/>
    <s v="-"/>
    <s v="-"/>
    <s v="-"/>
    <s v="-"/>
    <s v="-"/>
    <s v="Delivery"/>
    <n v="0.5"/>
    <m/>
    <x v="1"/>
    <n v="2844"/>
    <x v="7"/>
    <n v="30"/>
    <n v="45380"/>
    <x v="1"/>
    <x v="1"/>
  </r>
  <r>
    <x v="8"/>
    <x v="3"/>
    <s v="PO 45013958809"/>
    <s v="Razón Social"/>
    <s v="PO2301034"/>
    <n v="1841"/>
    <s v="1.-Licencias SMH-Borgwarner REX_PO 45013958809"/>
    <x v="9"/>
    <x v="27"/>
    <x v="24"/>
    <n v="0"/>
    <n v="1656"/>
    <x v="23"/>
    <s v="OK"/>
    <x v="25"/>
    <x v="16"/>
    <s v="Closed"/>
    <n v="1656"/>
    <n v="1656"/>
    <n v="1"/>
    <n v="0"/>
    <n v="0"/>
    <s v="N/A"/>
    <n v="0"/>
    <n v="0"/>
    <s v="N/A"/>
    <n v="0"/>
    <n v="0"/>
    <s v="No quoted"/>
    <s v="Delivery"/>
    <n v="1"/>
    <n v="1044"/>
    <x v="0"/>
    <n v="1656"/>
    <x v="21"/>
    <n v="30"/>
    <n v="45214"/>
    <x v="1"/>
    <x v="0"/>
  </r>
  <r>
    <x v="9"/>
    <x v="0"/>
    <s v="PO 4500031113"/>
    <s v="Debug"/>
    <s v="N/A"/>
    <s v="N/A"/>
    <s v="IBTI-23050001 SCCM Project- QxQ"/>
    <x v="8"/>
    <x v="28"/>
    <x v="26"/>
    <n v="15647.95"/>
    <n v="6898.15"/>
    <x v="24"/>
    <s v="OK"/>
    <x v="27"/>
    <x v="24"/>
    <s v="Closed"/>
    <n v="3553.15"/>
    <n v="2176.81"/>
    <n v="0.61264230330833203"/>
    <n v="560"/>
    <n v="476.11"/>
    <n v="0.85019642857142863"/>
    <n v="2785"/>
    <n v="0"/>
    <s v="OK"/>
    <n v="12982"/>
    <n v="0"/>
    <m/>
    <s v="Delivery"/>
    <n v="1"/>
    <n v="1042"/>
    <x v="0"/>
    <n v="22546.095000000001"/>
    <x v="22"/>
    <n v="30"/>
    <n v="45211"/>
    <x v="0"/>
    <x v="0"/>
  </r>
  <r>
    <x v="9"/>
    <x v="4"/>
    <s v="PO 4301338632"/>
    <s v="Project"/>
    <s v="PO2301036-1 "/>
    <n v="1975"/>
    <s v="IBSW-23064001 Traceability Integration"/>
    <x v="10"/>
    <x v="29"/>
    <x v="27"/>
    <n v="485.75"/>
    <n v="9229.25"/>
    <x v="25"/>
    <s v="OK"/>
    <x v="28"/>
    <x v="25"/>
    <s v="Closed"/>
    <n v="9229.25"/>
    <n v="8114.25"/>
    <n v="0.87918844976569055"/>
    <n v="0"/>
    <n v="0"/>
    <s v="N/A"/>
    <n v="0"/>
    <n v="0"/>
    <s v="N/A"/>
    <n v="9229.25"/>
    <n v="9229.25"/>
    <s v="No quoted"/>
    <s v="Delivery"/>
    <n v="1"/>
    <n v="1061"/>
    <x v="0"/>
    <n v="8600"/>
    <x v="23"/>
    <n v="30"/>
    <n v="45313"/>
    <x v="1"/>
    <x v="0"/>
  </r>
  <r>
    <x v="9"/>
    <x v="0"/>
    <s v="PO 503715 "/>
    <s v="n/a"/>
    <s v="N/A"/>
    <s v="N/A"/>
    <s v="IBTI-23021006 Engineering Hours Creston"/>
    <x v="2"/>
    <x v="8"/>
    <x v="5"/>
    <n v="2420"/>
    <n v="0"/>
    <x v="5"/>
    <s v="OK"/>
    <x v="8"/>
    <x v="5"/>
    <s v="Open"/>
    <n v="0"/>
    <n v="0"/>
    <s v="N/A"/>
    <n v="0"/>
    <n v="0"/>
    <s v="N/A"/>
    <n v="0"/>
    <n v="0"/>
    <s v="N/A"/>
    <n v="0"/>
    <n v="0"/>
    <s v="N/A"/>
    <s v="Delivery"/>
    <n v="1"/>
    <n v="1056"/>
    <x v="0"/>
    <n v="2420"/>
    <x v="24"/>
    <n v="30"/>
    <n v="45296"/>
    <x v="1"/>
    <x v="0"/>
  </r>
  <r>
    <x v="9"/>
    <x v="0"/>
    <s v="PO 4501408571"/>
    <s v="Razón Social"/>
    <s v="PO2301038"/>
    <n v="1852"/>
    <s v="IBTI-23032001 Control P_383"/>
    <x v="9"/>
    <x v="30"/>
    <x v="24"/>
    <n v="0"/>
    <n v="55646.1"/>
    <x v="26"/>
    <s v="OK"/>
    <x v="25"/>
    <x v="16"/>
    <s v="Closed"/>
    <n v="55646.1"/>
    <n v="55646.1"/>
    <n v="1"/>
    <n v="0"/>
    <n v="0"/>
    <s v="N/A"/>
    <n v="0"/>
    <n v="0"/>
    <s v="N/A"/>
    <n v="0"/>
    <n v="0"/>
    <s v="N/A"/>
    <s v="DP"/>
    <n v="0.3"/>
    <n v="1045"/>
    <x v="0"/>
    <n v="16693.829999999998"/>
    <x v="25"/>
    <n v="0"/>
    <n v="45229"/>
    <x v="0"/>
    <x v="0"/>
  </r>
  <r>
    <x v="9"/>
    <x v="0"/>
    <s v="PO 4501408571"/>
    <s v="Razón Social"/>
    <s v="PO2301038"/>
    <n v="1936"/>
    <s v="IBTI-23032001 Control P_383"/>
    <x v="9"/>
    <x v="31"/>
    <x v="1"/>
    <s v="-"/>
    <s v="-"/>
    <x v="1"/>
    <s v="-"/>
    <x v="1"/>
    <x v="26"/>
    <s v="Closed"/>
    <s v="-"/>
    <s v="-"/>
    <s v="-"/>
    <s v="-"/>
    <s v="-"/>
    <s v="-"/>
    <s v="-"/>
    <s v="-"/>
    <s v="-"/>
    <s v="-"/>
    <s v="-"/>
    <s v="-"/>
    <s v="Delivery"/>
    <n v="0.7"/>
    <n v="1054"/>
    <x v="0"/>
    <n v="38952.269999999997"/>
    <x v="26"/>
    <n v="30"/>
    <n v="45294"/>
    <x v="1"/>
    <x v="0"/>
  </r>
  <r>
    <x v="9"/>
    <x v="0"/>
    <s v="PO 10409"/>
    <s v="n/a"/>
    <s v="N/A"/>
    <s v="N/A"/>
    <s v="IBTI-22051001-Shasta Patch DMB0001P"/>
    <x v="0"/>
    <x v="32"/>
    <x v="28"/>
    <n v="3388"/>
    <n v="14244.7"/>
    <x v="27"/>
    <s v="OK"/>
    <x v="29"/>
    <x v="27"/>
    <s v="Closed"/>
    <n v="11129.7"/>
    <n v="10172.26"/>
    <n v="0.91397432096103215"/>
    <n v="1200"/>
    <n v="656.32"/>
    <n v="0.54693333333333338"/>
    <n v="1915"/>
    <n v="1461.46"/>
    <n v="0.76316449086161886"/>
    <n v="0"/>
    <n v="0"/>
    <s v="N/A"/>
    <s v="Delivery"/>
    <n v="1.0896970232960205E-5"/>
    <n v="1046"/>
    <x v="0"/>
    <n v="0.19214300702671741"/>
    <x v="25"/>
    <n v="30"/>
    <n v="45224"/>
    <x v="0"/>
    <x v="0"/>
  </r>
  <r>
    <x v="9"/>
    <x v="0"/>
    <s v="PO 10409"/>
    <s v="n/a"/>
    <s v="N/A"/>
    <s v="N/A"/>
    <s v="IBTI-22051001-Shasta Patch DMB0001P"/>
    <x v="0"/>
    <x v="1"/>
    <x v="1"/>
    <s v="-"/>
    <s v="-"/>
    <x v="1"/>
    <s v="-"/>
    <x v="1"/>
    <x v="26"/>
    <s v="Closed"/>
    <s v="-"/>
    <s v="-"/>
    <s v="-"/>
    <s v="-"/>
    <s v="-"/>
    <s v="-"/>
    <s v="-"/>
    <s v="-"/>
    <s v="-"/>
    <s v="-"/>
    <s v="-"/>
    <s v="-"/>
    <s v="Delivery"/>
    <n v="0.3"/>
    <n v="1051"/>
    <x v="0"/>
    <n v="17632.507856992976"/>
    <x v="27"/>
    <n v="30"/>
    <n v="45260"/>
    <x v="1"/>
    <x v="0"/>
  </r>
  <r>
    <x v="10"/>
    <x v="0"/>
    <s v="PO C-10002436705"/>
    <s v="n/a"/>
    <s v="N/A"/>
    <s v="N/A"/>
    <s v="IBTI-23055003 Development Whirlpool Q+ HMI A26"/>
    <x v="5"/>
    <x v="33"/>
    <x v="29"/>
    <n v="13999.759999999998"/>
    <n v="22197.38"/>
    <x v="28"/>
    <s v="OK"/>
    <x v="30"/>
    <x v="28"/>
    <s v="Open"/>
    <n v="21507.38"/>
    <n v="17194.040000000005"/>
    <n v="0.79944837539486469"/>
    <n v="690"/>
    <n v="0"/>
    <n v="0"/>
    <n v="0"/>
    <n v="0"/>
    <s v="N/A"/>
    <n v="0"/>
    <n v="0"/>
    <s v="N/A"/>
    <s v="Delivery"/>
    <n v="1"/>
    <m/>
    <x v="1"/>
    <n v="36197.14"/>
    <x v="28"/>
    <n v="30"/>
    <n v="45362"/>
    <x v="1"/>
    <x v="1"/>
  </r>
  <r>
    <x v="10"/>
    <x v="0"/>
    <s v="PO 454367686 "/>
    <s v="n/a"/>
    <s v="N/A"/>
    <s v="N/A"/>
    <s v="IBTI-23065001 MPAD Project"/>
    <x v="11"/>
    <x v="34"/>
    <x v="30"/>
    <n v="45861.63"/>
    <n v="75659.09"/>
    <x v="5"/>
    <s v="OK"/>
    <x v="31"/>
    <x v="5"/>
    <s v="Open"/>
    <n v="72454.09"/>
    <n v="0"/>
    <n v="0"/>
    <n v="1600"/>
    <n v="0"/>
    <n v="0"/>
    <n v="1605"/>
    <n v="0"/>
    <n v="0"/>
    <n v="0"/>
    <n v="0"/>
    <s v="N/A"/>
    <s v="Delivery"/>
    <n v="1"/>
    <m/>
    <x v="1"/>
    <n v="121520.72"/>
    <x v="29"/>
    <n v="90"/>
    <n v="45532"/>
    <x v="1"/>
    <x v="1"/>
  </r>
  <r>
    <x v="11"/>
    <x v="3"/>
    <s v="PO 4501435032 "/>
    <s v="Project"/>
    <s v="PO2301042"/>
    <s v="N/A"/>
    <s v="2.-Licencias SMH-Borgwarner REX_PO 4501435032"/>
    <x v="9"/>
    <x v="35"/>
    <x v="31"/>
    <n v="217.41000000000031"/>
    <n v="1449.4499999999998"/>
    <x v="29"/>
    <s v="OK"/>
    <x v="32"/>
    <x v="29"/>
    <s v="Closed"/>
    <n v="1449.45"/>
    <n v="1449.45"/>
    <n v="1"/>
    <n v="0"/>
    <n v="0"/>
    <s v="N/A"/>
    <n v="0"/>
    <n v="0"/>
    <s v="N/A"/>
    <n v="0"/>
    <n v="0"/>
    <s v="N/A"/>
    <s v="Delivery"/>
    <n v="1"/>
    <n v="1052"/>
    <x v="0"/>
    <n v="1666.8600000000001"/>
    <x v="30"/>
    <n v="30"/>
    <n v="45276"/>
    <x v="1"/>
    <x v="0"/>
  </r>
  <r>
    <x v="11"/>
    <x v="0"/>
    <s v="PO 505614"/>
    <s v="n/a"/>
    <s v="N/A"/>
    <s v="N/A"/>
    <s v="IBTI-23021008 4534704 PA08018-1 PCB REV B"/>
    <x v="2"/>
    <x v="36"/>
    <x v="32"/>
    <n v="22129.25"/>
    <n v="26692.5"/>
    <x v="5"/>
    <s v="OK"/>
    <x v="33"/>
    <x v="5"/>
    <s v="Open"/>
    <n v="26042.5"/>
    <n v="0"/>
    <n v="0"/>
    <n v="650"/>
    <n v="0"/>
    <n v="0"/>
    <n v="0"/>
    <n v="0"/>
    <s v="N/A"/>
    <n v="14316.5"/>
    <n v="0"/>
    <s v="N/A"/>
    <s v="Delivery"/>
    <n v="1"/>
    <m/>
    <x v="1"/>
    <n v="48821.75"/>
    <x v="31"/>
    <n v="30"/>
    <n v="45351"/>
    <x v="1"/>
    <x v="1"/>
  </r>
  <r>
    <x v="11"/>
    <x v="2"/>
    <s v="PO 505673"/>
    <s v="Project"/>
    <s v="PO2301043"/>
    <s v="Pending"/>
    <s v="IBFIX-23021001 for HR320 Pre-test Fixture"/>
    <x v="2"/>
    <x v="37"/>
    <x v="33"/>
    <n v="5082.3800000000047"/>
    <n v="33882.49"/>
    <x v="30"/>
    <s v="OK"/>
    <x v="34"/>
    <x v="30"/>
    <s v="Open"/>
    <n v="33882.49"/>
    <n v="33882.49"/>
    <n v="1"/>
    <n v="0"/>
    <n v="0"/>
    <s v="N/A"/>
    <n v="0"/>
    <n v="0"/>
    <s v="N/A"/>
    <n v="0"/>
    <n v="0"/>
    <s v="N/A"/>
    <s v="Delivery"/>
    <n v="1"/>
    <m/>
    <x v="1"/>
    <n v="38964.870000000003"/>
    <x v="29"/>
    <n v="30"/>
    <n v="45472"/>
    <x v="1"/>
    <x v="1"/>
  </r>
  <r>
    <x v="11"/>
    <x v="3"/>
    <s v="PO100243"/>
    <s v="n/a"/>
    <s v="N/A"/>
    <s v="N/A"/>
    <s v="3.-INGUN Probes Atom Power PO100243"/>
    <x v="6"/>
    <x v="38"/>
    <x v="34"/>
    <n v="16.18"/>
    <n v="98.93"/>
    <x v="31"/>
    <s v="OK"/>
    <x v="35"/>
    <x v="31"/>
    <s v="Closed"/>
    <n v="50.4"/>
    <n v="50.4"/>
    <n v="1"/>
    <n v="45"/>
    <n v="23.58"/>
    <n v="0.52399999999999991"/>
    <n v="0"/>
    <n v="0"/>
    <s v="N/A"/>
    <n v="0"/>
    <n v="0"/>
    <s v="N/A"/>
    <s v="Delivery"/>
    <n v="1"/>
    <n v="1053"/>
    <x v="0"/>
    <n v="115.11"/>
    <x v="32"/>
    <n v="30"/>
    <n v="45282"/>
    <x v="1"/>
    <x v="0"/>
  </r>
  <r>
    <x v="11"/>
    <x v="2"/>
    <s v="PO 4510690083"/>
    <s v="n/a"/>
    <s v="N/A"/>
    <s v="N/A"/>
    <s v="IBTFIX-23065001 EMS27xx28xx HC Load Box Project"/>
    <x v="12"/>
    <x v="39"/>
    <x v="35"/>
    <n v="15483.72"/>
    <n v="12424.6"/>
    <x v="32"/>
    <s v="OK"/>
    <x v="36"/>
    <x v="32"/>
    <s v="Open"/>
    <n v="12165"/>
    <n v="4900.6499999999987"/>
    <n v="0.40284833538840925"/>
    <n v="259.60000000000002"/>
    <n v="0"/>
    <n v="0"/>
    <n v="0"/>
    <n v="0"/>
    <s v="N/A"/>
    <n v="0"/>
    <n v="0"/>
    <s v="N/A"/>
    <s v="Delivery"/>
    <n v="1"/>
    <m/>
    <x v="1"/>
    <n v="27908.32"/>
    <x v="33"/>
    <n v="60"/>
    <n v="45384"/>
    <x v="1"/>
    <x v="1"/>
  </r>
  <r>
    <x v="11"/>
    <x v="2"/>
    <s v="PO 506168"/>
    <s v="Project"/>
    <s v="PO2301049"/>
    <s v="Pending"/>
    <s v="IBFIX-23021002 for Radiance-Aux Fixture"/>
    <x v="2"/>
    <x v="40"/>
    <x v="36"/>
    <n v="1900.3999999999996"/>
    <n v="12669.28"/>
    <x v="33"/>
    <s v="OK"/>
    <x v="37"/>
    <x v="33"/>
    <s v="Open"/>
    <n v="12669.28"/>
    <n v="12669.28"/>
    <n v="1"/>
    <n v="0"/>
    <n v="0"/>
    <s v="N/A"/>
    <n v="0"/>
    <n v="0"/>
    <s v="N/A"/>
    <n v="0"/>
    <n v="0"/>
    <s v="N/A"/>
    <s v="Delivery"/>
    <n v="1"/>
    <m/>
    <x v="1"/>
    <n v="14569.68"/>
    <x v="34"/>
    <n v="30"/>
    <n v="45411"/>
    <x v="1"/>
    <x v="1"/>
  </r>
  <r>
    <x v="12"/>
    <x v="0"/>
    <s v="PO 506410"/>
    <s v="n/a"/>
    <s v="N/A"/>
    <s v="N/A"/>
    <s v="IBTI-23021009 4535095 - PA08040-1"/>
    <x v="2"/>
    <x v="41"/>
    <x v="37"/>
    <n v="10114.259999999998"/>
    <n v="14227.9"/>
    <x v="5"/>
    <s v="OK"/>
    <x v="38"/>
    <x v="5"/>
    <s v="Open"/>
    <n v="13677.9"/>
    <n v="0"/>
    <n v="0"/>
    <n v="550"/>
    <n v="0"/>
    <n v="0"/>
    <n v="0"/>
    <n v="0"/>
    <s v="N/A"/>
    <n v="0"/>
    <n v="0"/>
    <s v="N/A"/>
    <s v="Delivery"/>
    <n v="1"/>
    <m/>
    <x v="1"/>
    <n v="24342.159999999996"/>
    <x v="28"/>
    <n v="30"/>
    <n v="45362"/>
    <x v="1"/>
    <x v="1"/>
  </r>
  <r>
    <x v="12"/>
    <x v="2"/>
    <s v="PO 506723"/>
    <s v="Project"/>
    <s v="PO2301051"/>
    <s v="Pending"/>
    <s v="IBFIX-23021003 for Radiance System Final Fixture"/>
    <x v="2"/>
    <x v="42"/>
    <x v="38"/>
    <n v="5431.0299999999988"/>
    <n v="36206.86"/>
    <x v="34"/>
    <s v="OK"/>
    <x v="39"/>
    <x v="34"/>
    <s v="Open"/>
    <n v="36206.86"/>
    <n v="36206.86"/>
    <n v="1"/>
    <n v="0"/>
    <n v="0"/>
    <s v="N/A"/>
    <n v="0"/>
    <n v="0"/>
    <s v="N/A"/>
    <n v="0"/>
    <n v="0"/>
    <s v="N/A"/>
    <s v="Delivery"/>
    <n v="1"/>
    <m/>
    <x v="1"/>
    <n v="41637.89"/>
    <x v="34"/>
    <n v="30"/>
    <n v="45411"/>
    <x v="1"/>
    <x v="1"/>
  </r>
  <r>
    <x v="12"/>
    <x v="0"/>
    <s v="PO ATE01885"/>
    <s v="n/a"/>
    <s v="N/A"/>
    <s v="N/A"/>
    <s v="IBTI-23067001 Neptune 13392 Data"/>
    <x v="13"/>
    <x v="43"/>
    <x v="24"/>
    <n v="0"/>
    <n v="34794.11"/>
    <x v="5"/>
    <s v="OK"/>
    <x v="40"/>
    <x v="5"/>
    <s v="Open"/>
    <n v="30894.11"/>
    <n v="0"/>
    <n v="0"/>
    <n v="650"/>
    <n v="0"/>
    <n v="0"/>
    <n v="0"/>
    <n v="0"/>
    <s v="N/A"/>
    <n v="0"/>
    <n v="0"/>
    <s v="N/A"/>
    <s v="Delivery"/>
    <n v="1"/>
    <m/>
    <x v="1"/>
    <n v="34794.11"/>
    <x v="35"/>
    <n v="30"/>
    <n v="45381"/>
    <x v="1"/>
    <x v="1"/>
  </r>
  <r>
    <x v="12"/>
    <x v="0"/>
    <s v="PO 506988"/>
    <s v="n/a"/>
    <s v="N/A"/>
    <s v="N/A"/>
    <s v="IBTI-23021010-4535244-PA08037, 4535102-PA08038, 4535245-PA08069"/>
    <x v="2"/>
    <x v="44"/>
    <x v="39"/>
    <n v="11758.75"/>
    <n v="13120.3"/>
    <x v="5"/>
    <s v="OK"/>
    <x v="41"/>
    <x v="5"/>
    <s v="Open"/>
    <n v="13120.3"/>
    <n v="0"/>
    <n v="0"/>
    <n v="600"/>
    <n v="0"/>
    <n v="0"/>
    <n v="0"/>
    <n v="0"/>
    <s v="N/A"/>
    <n v="0"/>
    <n v="0"/>
    <s v="N/A"/>
    <s v="Delivery"/>
    <n v="1"/>
    <m/>
    <x v="1"/>
    <n v="24879.05"/>
    <x v="35"/>
    <n v="30"/>
    <n v="45381"/>
    <x v="1"/>
    <x v="1"/>
  </r>
  <r>
    <x v="12"/>
    <x v="0"/>
    <s v="PO 506990"/>
    <s v="n/a"/>
    <s v="N/A"/>
    <s v="N/A"/>
    <s v="IBTI-23021011 4535140-PA08039-1 &amp; 4535096-PA08041-1"/>
    <x v="2"/>
    <x v="45"/>
    <x v="40"/>
    <n v="14648.055"/>
    <n v="13966.85"/>
    <x v="5"/>
    <s v="OK"/>
    <x v="42"/>
    <x v="35"/>
    <s v="Open"/>
    <n v="13966.85"/>
    <n v="0"/>
    <n v="0"/>
    <n v="550"/>
    <n v="0"/>
    <n v="0"/>
    <n v="0"/>
    <n v="0"/>
    <s v="N/A"/>
    <n v="0"/>
    <n v="0"/>
    <s v="N/A"/>
    <s v="Delivery"/>
    <n v="1"/>
    <m/>
    <x v="1"/>
    <n v="28614.91"/>
    <x v="35"/>
    <n v="30"/>
    <n v="45381"/>
    <x v="1"/>
    <x v="1"/>
  </r>
  <r>
    <x v="12"/>
    <x v="2"/>
    <s v="PO 506991"/>
    <s v="Project"/>
    <s v="PO2401002"/>
    <s v="Pending"/>
    <s v="IBFIX-23021004 for DMPSX-4200 Fixture"/>
    <x v="2"/>
    <x v="46"/>
    <x v="41"/>
    <n v="7258.335"/>
    <n v="42291.898600048393"/>
    <x v="35"/>
    <s v="OK"/>
    <x v="43"/>
    <x v="36"/>
    <s v="Open"/>
    <n v="42291.898600048393"/>
    <n v="42291.898600048393"/>
    <n v="1"/>
    <n v="0"/>
    <n v="0"/>
    <s v="N/A"/>
    <n v="0"/>
    <n v="0"/>
    <s v="N/A"/>
    <n v="0"/>
    <n v="0"/>
    <s v="N/A"/>
    <s v="Delivery"/>
    <n v="1"/>
    <m/>
    <x v="1"/>
    <n v="49550"/>
    <x v="35"/>
    <n v="30"/>
    <n v="45381"/>
    <x v="1"/>
    <x v="1"/>
  </r>
  <r>
    <x v="12"/>
    <x v="0"/>
    <s v="PO 4501459281"/>
    <s v="Project"/>
    <s v="PO2301054"/>
    <n v="1977"/>
    <s v="2.-Borgwarner Rex-4501459281  Control - Cir Bd - Rematek"/>
    <x v="9"/>
    <x v="47"/>
    <x v="42"/>
    <n v="4574.16"/>
    <n v="46249.840000000004"/>
    <x v="36"/>
    <s v="OK"/>
    <x v="44"/>
    <x v="37"/>
    <s v="Open"/>
    <n v="46249.840000000004"/>
    <n v="46249.840000000004"/>
    <n v="1"/>
    <n v="0"/>
    <n v="0"/>
    <s v="N/A"/>
    <n v="0"/>
    <n v="0"/>
    <s v="N/A"/>
    <n v="0"/>
    <n v="0"/>
    <s v="N/A"/>
    <s v="DP"/>
    <n v="0.3"/>
    <n v="1058"/>
    <x v="0"/>
    <n v="15247.199999999999"/>
    <x v="15"/>
    <n v="30"/>
    <n v="45323"/>
    <x v="1"/>
    <x v="1"/>
  </r>
  <r>
    <x v="12"/>
    <x v="0"/>
    <s v="PO 4501459281"/>
    <s v="Project"/>
    <s v="PO2301054"/>
    <s v="-"/>
    <s v="2.-Borgwarner Rex-4501459281  Control - Cir Bd - Rematek"/>
    <x v="9"/>
    <x v="1"/>
    <x v="1"/>
    <s v="-"/>
    <s v="-"/>
    <x v="1"/>
    <s v="-"/>
    <x v="1"/>
    <x v="1"/>
    <s v="Open"/>
    <s v="-"/>
    <s v="-"/>
    <s v="-"/>
    <s v="-"/>
    <s v="-"/>
    <s v="-"/>
    <s v="-"/>
    <s v="-"/>
    <s v="-"/>
    <s v="-"/>
    <s v="-"/>
    <s v="-"/>
    <s v="Delivery"/>
    <n v="0.7"/>
    <n v="1062"/>
    <x v="0"/>
    <n v="35576.799999999996"/>
    <x v="36"/>
    <n v="30"/>
    <n v="45337"/>
    <x v="1"/>
    <x v="1"/>
  </r>
  <r>
    <x v="12"/>
    <x v="0"/>
    <s v="PO 4501459277"/>
    <s v="Project"/>
    <s v="PO2301055"/>
    <n v="1982"/>
    <s v="3.-BorgWarner Rex-4501459277  Power Board (830)"/>
    <x v="9"/>
    <x v="48"/>
    <x v="42"/>
    <n v="3449.16"/>
    <n v="34874.840000000004"/>
    <x v="37"/>
    <s v="OK"/>
    <x v="45"/>
    <x v="37"/>
    <s v="Open"/>
    <n v="34874.840000000004"/>
    <n v="34874.840000000004"/>
    <n v="1"/>
    <n v="0"/>
    <n v="0"/>
    <s v="N/A"/>
    <n v="0"/>
    <n v="0"/>
    <s v="N/A"/>
    <n v="0"/>
    <n v="0"/>
    <s v="N/A"/>
    <s v="DP"/>
    <n v="0.3"/>
    <n v="1057"/>
    <x v="0"/>
    <n v="11497.199999999999"/>
    <x v="15"/>
    <n v="30"/>
    <n v="45323"/>
    <x v="1"/>
    <x v="1"/>
  </r>
  <r>
    <x v="12"/>
    <x v="0"/>
    <s v="PO 4501459277"/>
    <s v="Project"/>
    <s v="PO2301055"/>
    <s v="-"/>
    <s v="3.-BorgWarner Rex-4501459277  Power Board (830)"/>
    <x v="9"/>
    <x v="1"/>
    <x v="1"/>
    <s v="-"/>
    <s v="-"/>
    <x v="1"/>
    <s v="-"/>
    <x v="1"/>
    <x v="1"/>
    <s v="Open"/>
    <s v="-"/>
    <s v="-"/>
    <s v="-"/>
    <s v="-"/>
    <s v="-"/>
    <s v="-"/>
    <s v="-"/>
    <s v="-"/>
    <s v="-"/>
    <s v="-"/>
    <s v="-"/>
    <s v="-"/>
    <s v="Delivery"/>
    <n v="0.7"/>
    <n v="1063"/>
    <x v="0"/>
    <n v="26826.799999999999"/>
    <x v="37"/>
    <n v="30"/>
    <n v="45344"/>
    <x v="1"/>
    <x v="1"/>
  </r>
  <r>
    <x v="13"/>
    <x v="0"/>
    <s v="PO 507625"/>
    <s v="Project"/>
    <s v="N/A"/>
    <s v="N/A"/>
    <s v="IBTI-24021012-PA07973, PA07974, PA07975, PA07976"/>
    <x v="2"/>
    <x v="49"/>
    <x v="1"/>
    <n v="26497.81"/>
    <n v="23991.699999999997"/>
    <x v="5"/>
    <s v="OK"/>
    <x v="46"/>
    <x v="38"/>
    <s v="Open"/>
    <n v="23341.7"/>
    <n v="0"/>
    <s v="-"/>
    <n v="650"/>
    <n v="0"/>
    <s v="-"/>
    <n v="0"/>
    <n v="0"/>
    <s v="N/A"/>
    <n v="0"/>
    <n v="0"/>
    <s v="N/A"/>
    <s v="Delivery"/>
    <n v="1"/>
    <m/>
    <x v="1"/>
    <n v="50489.51"/>
    <x v="35"/>
    <n v="30"/>
    <n v="45381"/>
    <x v="1"/>
    <x v="1"/>
  </r>
  <r>
    <x v="14"/>
    <x v="0"/>
    <s v="PO C-10002578449"/>
    <s v="Project"/>
    <s v="N/A"/>
    <s v="N/A"/>
    <s v="IBTI-24055004_ Trimble Judo Main"/>
    <x v="5"/>
    <x v="50"/>
    <x v="24"/>
    <m/>
    <m/>
    <x v="38"/>
    <s v="OK"/>
    <x v="17"/>
    <x v="1"/>
    <s v="Open"/>
    <m/>
    <m/>
    <m/>
    <m/>
    <m/>
    <m/>
    <m/>
    <m/>
    <m/>
    <m/>
    <m/>
    <m/>
    <m/>
    <m/>
    <m/>
    <x v="2"/>
    <m/>
    <x v="38"/>
    <m/>
    <m/>
    <x v="2"/>
    <x v="2"/>
  </r>
  <r>
    <x v="14"/>
    <x v="0"/>
    <s v="PO C-10002579922"/>
    <s v="Project"/>
    <s v="N/A"/>
    <s v="N/A"/>
    <s v="IBTI-24055005_Trimble Judo Cell Project"/>
    <x v="5"/>
    <x v="51"/>
    <x v="24"/>
    <m/>
    <m/>
    <x v="38"/>
    <s v="OK"/>
    <x v="17"/>
    <x v="1"/>
    <s v="Open"/>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r>
    <x v="15"/>
    <x v="5"/>
    <m/>
    <m/>
    <m/>
    <m/>
    <m/>
    <x v="14"/>
    <x v="31"/>
    <x v="43"/>
    <m/>
    <m/>
    <x v="38"/>
    <m/>
    <x v="17"/>
    <x v="1"/>
    <m/>
    <m/>
    <m/>
    <m/>
    <m/>
    <m/>
    <m/>
    <m/>
    <m/>
    <m/>
    <m/>
    <m/>
    <m/>
    <m/>
    <m/>
    <m/>
    <x v="2"/>
    <m/>
    <x v="38"/>
    <m/>
    <m/>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2DFC65-C1C9-41B8-8373-C3D4419734E3}" name="Invoicing" cacheId="5880"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chartFormat="21">
  <location ref="W5:Z66" firstHeaderRow="1" firstDataRow="2" firstDataCol="1"/>
  <pivotFields count="48">
    <pivotField showAll="0">
      <items count="15">
        <item x="0"/>
        <item x="1"/>
        <item x="2"/>
        <item x="3"/>
        <item x="4"/>
        <item x="5"/>
        <item x="6"/>
        <item x="7"/>
        <item x="8"/>
        <item x="9"/>
        <item x="10"/>
        <item x="11"/>
        <item h="1" x="13"/>
        <item h="1" x="12"/>
        <item t="default"/>
      </items>
    </pivotField>
    <pivotField showAll="0">
      <items count="7">
        <item x="1"/>
        <item x="2"/>
        <item x="0"/>
        <item x="3"/>
        <item x="4"/>
        <item x="5"/>
        <item t="default"/>
      </items>
    </pivotField>
    <pivotField showAll="0"/>
    <pivotField showAll="0"/>
    <pivotField showAll="0"/>
    <pivotField showAll="0"/>
    <pivotField axis="axisRow" showAll="0">
      <items count="36">
        <item x="18"/>
        <item m="1" x="33"/>
        <item x="25"/>
        <item x="19"/>
        <item x="4"/>
        <item x="5"/>
        <item x="9"/>
        <item x="0"/>
        <item x="2"/>
        <item x="3"/>
        <item x="7"/>
        <item x="8"/>
        <item x="11"/>
        <item x="15"/>
        <item x="16"/>
        <item x="17"/>
        <item x="24"/>
        <item m="1" x="32"/>
        <item x="20"/>
        <item x="13"/>
        <item x="14"/>
        <item x="6"/>
        <item x="10"/>
        <item x="21"/>
        <item x="12"/>
        <item m="1" x="34"/>
        <item x="31"/>
        <item x="22"/>
        <item x="23"/>
        <item x="26"/>
        <item x="1"/>
        <item x="27"/>
        <item x="28"/>
        <item x="29"/>
        <item x="30"/>
        <item t="default"/>
      </items>
    </pivotField>
    <pivotField showAll="0">
      <items count="15">
        <item x="11"/>
        <item x="6"/>
        <item x="8"/>
        <item x="9"/>
        <item x="2"/>
        <item x="7"/>
        <item x="4"/>
        <item x="0"/>
        <item x="5"/>
        <item x="1"/>
        <item x="10"/>
        <item x="12"/>
        <item x="3"/>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dataField="1" showAll="0"/>
    <pivotField showAll="0">
      <items count="46">
        <item x="0"/>
        <item x="6"/>
        <item x="5"/>
        <item x="8"/>
        <item x="4"/>
        <item x="9"/>
        <item x="10"/>
        <item x="15"/>
        <item x="1"/>
        <item x="11"/>
        <item x="18"/>
        <item x="2"/>
        <item x="19"/>
        <item x="14"/>
        <item x="13"/>
        <item x="21"/>
        <item x="12"/>
        <item x="20"/>
        <item x="24"/>
        <item x="3"/>
        <item x="16"/>
        <item x="17"/>
        <item x="26"/>
        <item m="1" x="39"/>
        <item m="1" x="44"/>
        <item m="1" x="43"/>
        <item m="1" x="41"/>
        <item m="1" x="40"/>
        <item m="1" x="38"/>
        <item m="1" x="42"/>
        <item x="7"/>
        <item x="35"/>
        <item m="1" x="36"/>
        <item x="29"/>
        <item x="31"/>
        <item x="22"/>
        <item x="27"/>
        <item x="28"/>
        <item m="1" x="37"/>
        <item x="25"/>
        <item x="23"/>
        <item x="33"/>
        <item x="34"/>
        <item x="30"/>
        <item x="32"/>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showAll="0">
      <items count="5">
        <item h="1" sd="0" x="0"/>
        <item x="1"/>
        <item x="2"/>
        <item h="1" x="3"/>
        <item t="default"/>
      </items>
    </pivotField>
    <pivotField axis="axisRow" showAll="0">
      <items count="15">
        <item x="0"/>
        <item x="1"/>
        <item x="2"/>
        <item x="3"/>
        <item x="4"/>
        <item x="5"/>
        <item x="6"/>
        <item x="7"/>
        <item x="8"/>
        <item x="9"/>
        <item x="10"/>
        <item x="11"/>
        <item x="12"/>
        <item x="13"/>
        <item t="default"/>
      </items>
    </pivotField>
    <pivotField showAll="0">
      <items count="7">
        <item sd="0" x="0"/>
        <item sd="0" x="1"/>
        <item sd="0" x="2"/>
        <item sd="0" x="3"/>
        <item sd="0" x="4"/>
        <item x="5"/>
        <item t="default"/>
      </items>
    </pivotField>
    <pivotField axis="axisRow" showAll="0">
      <items count="5">
        <item h="1" sd="0" x="0"/>
        <item x="1"/>
        <item x="2"/>
        <item h="1" x="3"/>
        <item t="default"/>
      </items>
    </pivotField>
    <pivotField dragToRow="0" dragToCol="0" dragToPage="0" showAll="0" defaultSubtotal="0"/>
    <pivotField dragToRow="0" dragToCol="0" dragToPage="0" showAll="0" defaultSubtotal="0"/>
    <pivotField dragToRow="0" dragToCol="0" dragToPage="0" showAll="0" defaultSubtotal="0"/>
  </pivotFields>
  <rowFields count="3">
    <field x="44"/>
    <field x="42"/>
    <field x="6"/>
  </rowFields>
  <rowItems count="60">
    <i>
      <x v="1"/>
    </i>
    <i r="1">
      <x v="1"/>
    </i>
    <i r="2">
      <x v="7"/>
    </i>
    <i r="1">
      <x v="3"/>
    </i>
    <i r="2">
      <x v="4"/>
    </i>
    <i r="2">
      <x v="5"/>
    </i>
    <i r="2">
      <x v="9"/>
    </i>
    <i r="1">
      <x v="5"/>
    </i>
    <i r="2">
      <x v="5"/>
    </i>
    <i r="2">
      <x v="6"/>
    </i>
    <i r="2">
      <x v="8"/>
    </i>
    <i r="1">
      <x v="6"/>
    </i>
    <i r="2">
      <x v="6"/>
    </i>
    <i r="2">
      <x v="9"/>
    </i>
    <i r="2">
      <x v="10"/>
    </i>
    <i r="2">
      <x v="21"/>
    </i>
    <i r="1">
      <x v="7"/>
    </i>
    <i r="2">
      <x v="7"/>
    </i>
    <i r="2">
      <x v="11"/>
    </i>
    <i r="1">
      <x v="8"/>
    </i>
    <i r="2">
      <x v="4"/>
    </i>
    <i r="2">
      <x v="6"/>
    </i>
    <i r="2">
      <x v="7"/>
    </i>
    <i r="2">
      <x v="14"/>
    </i>
    <i r="2">
      <x v="19"/>
    </i>
    <i r="1">
      <x v="9"/>
    </i>
    <i r="2">
      <x/>
    </i>
    <i r="2">
      <x v="7"/>
    </i>
    <i r="2">
      <x v="12"/>
    </i>
    <i r="2">
      <x v="18"/>
    </i>
    <i r="2">
      <x v="19"/>
    </i>
    <i r="2">
      <x v="22"/>
    </i>
    <i r="2">
      <x v="24"/>
    </i>
    <i r="2">
      <x v="30"/>
    </i>
    <i r="1">
      <x v="10"/>
    </i>
    <i r="2">
      <x v="7"/>
    </i>
    <i r="2">
      <x v="13"/>
    </i>
    <i r="2">
      <x v="15"/>
    </i>
    <i r="1">
      <x v="11"/>
    </i>
    <i r="2">
      <x v="28"/>
    </i>
    <i r="2">
      <x v="29"/>
    </i>
    <i r="1">
      <x v="12"/>
    </i>
    <i r="2">
      <x v="3"/>
    </i>
    <i r="2">
      <x v="14"/>
    </i>
    <i r="2">
      <x v="18"/>
    </i>
    <i>
      <x v="2"/>
    </i>
    <i r="1">
      <x v="1"/>
    </i>
    <i r="2">
      <x v="4"/>
    </i>
    <i r="2">
      <x v="16"/>
    </i>
    <i r="2">
      <x v="20"/>
    </i>
    <i r="2">
      <x v="23"/>
    </i>
    <i r="2">
      <x v="31"/>
    </i>
    <i r="1">
      <x v="2"/>
    </i>
    <i r="2">
      <x v="27"/>
    </i>
    <i r="2">
      <x v="32"/>
    </i>
    <i r="2">
      <x v="33"/>
    </i>
    <i r="2">
      <x v="34"/>
    </i>
    <i r="1">
      <x v="3"/>
    </i>
    <i r="2">
      <x v="2"/>
    </i>
    <i t="grand">
      <x/>
    </i>
  </rowItems>
  <colFields count="1">
    <field x="32"/>
  </colFields>
  <colItems count="3">
    <i>
      <x/>
    </i>
    <i>
      <x v="1"/>
    </i>
    <i t="grand">
      <x/>
    </i>
  </colItems>
  <dataFields count="1">
    <dataField name="Sum of Invoice Amount" fld="33" baseField="6" baseItem="18" numFmtId="167"/>
  </dataFields>
  <formats count="74">
    <format dxfId="246">
      <pivotArea dataOnly="0" labelOnly="1" fieldPosition="0">
        <references count="1">
          <reference field="32" count="2">
            <x v="0"/>
            <x v="1"/>
          </reference>
        </references>
      </pivotArea>
    </format>
    <format dxfId="247">
      <pivotArea dataOnly="0" labelOnly="1" grandCol="1" outline="0" fieldPosition="0"/>
    </format>
    <format dxfId="248">
      <pivotArea dataOnly="0" labelOnly="1" fieldPosition="0">
        <references count="1">
          <reference field="32" count="2">
            <x v="0"/>
            <x v="1"/>
          </reference>
        </references>
      </pivotArea>
    </format>
    <format dxfId="249">
      <pivotArea dataOnly="0" labelOnly="1" grandCol="1" outline="0" fieldPosition="0"/>
    </format>
    <format dxfId="250">
      <pivotArea type="all" dataOnly="0" outline="0" fieldPosition="0"/>
    </format>
    <format dxfId="251">
      <pivotArea type="all" dataOnly="0" outline="0" fieldPosition="0"/>
    </format>
    <format dxfId="252">
      <pivotArea type="origin" dataOnly="0" labelOnly="1" outline="0" fieldPosition="0"/>
    </format>
    <format dxfId="253">
      <pivotArea type="topRight" dataOnly="0" labelOnly="1" outline="0" fieldPosition="0"/>
    </format>
    <format dxfId="254">
      <pivotArea dataOnly="0" labelOnly="1" fieldPosition="0">
        <references count="1">
          <reference field="32" count="2">
            <x v="0"/>
            <x v="1"/>
          </reference>
        </references>
      </pivotArea>
    </format>
    <format dxfId="255">
      <pivotArea dataOnly="0" labelOnly="1" grandCol="1" outline="0" fieldPosition="0"/>
    </format>
    <format dxfId="256">
      <pivotArea type="origin" dataOnly="0" labelOnly="1" outline="0" fieldPosition="0"/>
    </format>
    <format dxfId="257">
      <pivotArea type="topRight" dataOnly="0" labelOnly="1" outline="0" fieldPosition="0"/>
    </format>
    <format dxfId="258">
      <pivotArea dataOnly="0" labelOnly="1" fieldPosition="0">
        <references count="1">
          <reference field="32" count="2">
            <x v="0"/>
            <x v="1"/>
          </reference>
        </references>
      </pivotArea>
    </format>
    <format dxfId="259">
      <pivotArea dataOnly="0" labelOnly="1" grandCol="1" outline="0" fieldPosition="0"/>
    </format>
    <format dxfId="260">
      <pivotArea type="origin" dataOnly="0" labelOnly="1" outline="0" fieldPosition="0"/>
    </format>
    <format dxfId="261">
      <pivotArea type="topRight" dataOnly="0" labelOnly="1" outline="0" fieldPosition="0"/>
    </format>
    <format dxfId="262">
      <pivotArea dataOnly="0" labelOnly="1" fieldPosition="0">
        <references count="1">
          <reference field="32" count="2">
            <x v="0"/>
            <x v="1"/>
          </reference>
        </references>
      </pivotArea>
    </format>
    <format dxfId="263">
      <pivotArea dataOnly="0" labelOnly="1" grandCol="1" outline="0" fieldPosition="0"/>
    </format>
    <format dxfId="264">
      <pivotArea type="origin" dataOnly="0" labelOnly="1" outline="0" fieldPosition="0"/>
    </format>
    <format dxfId="265">
      <pivotArea type="topRight" dataOnly="0" labelOnly="1" outline="0" fieldPosition="0"/>
    </format>
    <format dxfId="266">
      <pivotArea dataOnly="0" labelOnly="1" fieldPosition="0">
        <references count="1">
          <reference field="32" count="2">
            <x v="0"/>
            <x v="1"/>
          </reference>
        </references>
      </pivotArea>
    </format>
    <format dxfId="267">
      <pivotArea dataOnly="0" labelOnly="1" grandCol="1" outline="0" fieldPosition="0"/>
    </format>
    <format dxfId="268">
      <pivotArea collapsedLevelsAreSubtotals="1" fieldPosition="0">
        <references count="2">
          <reference field="42" count="1">
            <x v="11"/>
          </reference>
          <reference field="44" count="1" selected="0">
            <x v="1"/>
          </reference>
        </references>
      </pivotArea>
    </format>
    <format dxfId="269">
      <pivotArea dataOnly="0" labelOnly="1" fieldPosition="0">
        <references count="2">
          <reference field="42" count="1">
            <x v="11"/>
          </reference>
          <reference field="44" count="1" selected="0">
            <x v="1"/>
          </reference>
        </references>
      </pivotArea>
    </format>
    <format dxfId="270">
      <pivotArea collapsedLevelsAreSubtotals="1" fieldPosition="0">
        <references count="2">
          <reference field="42" count="1">
            <x v="11"/>
          </reference>
          <reference field="44" count="1" selected="0">
            <x v="1"/>
          </reference>
        </references>
      </pivotArea>
    </format>
    <format dxfId="271">
      <pivotArea dataOnly="0" labelOnly="1" fieldPosition="0">
        <references count="2">
          <reference field="42" count="1">
            <x v="11"/>
          </reference>
          <reference field="44" count="1" selected="0">
            <x v="1"/>
          </reference>
        </references>
      </pivotArea>
    </format>
    <format dxfId="272">
      <pivotArea dataOnly="0" fieldPosition="0">
        <references count="1">
          <reference field="42" count="1">
            <x v="12"/>
          </reference>
        </references>
      </pivotArea>
    </format>
    <format dxfId="273">
      <pivotArea dataOnly="0" fieldPosition="0">
        <references count="1">
          <reference field="42" count="1">
            <x v="12"/>
          </reference>
        </references>
      </pivotArea>
    </format>
    <format dxfId="274">
      <pivotArea outline="0" fieldPosition="0">
        <references count="1">
          <reference field="4294967294" count="1">
            <x v="0"/>
          </reference>
        </references>
      </pivotArea>
    </format>
    <format dxfId="275">
      <pivotArea collapsedLevelsAreSubtotals="1" fieldPosition="0">
        <references count="2">
          <reference field="42" count="1">
            <x v="1"/>
          </reference>
          <reference field="44" count="1" selected="0">
            <x v="2"/>
          </reference>
        </references>
      </pivotArea>
    </format>
    <format dxfId="276">
      <pivotArea dataOnly="0" labelOnly="1" fieldPosition="0">
        <references count="2">
          <reference field="42" count="1">
            <x v="1"/>
          </reference>
          <reference field="44" count="1" selected="0">
            <x v="2"/>
          </reference>
        </references>
      </pivotArea>
    </format>
    <format dxfId="277">
      <pivotArea collapsedLevelsAreSubtotals="1" fieldPosition="0">
        <references count="2">
          <reference field="42" count="1">
            <x v="1"/>
          </reference>
          <reference field="44" count="1" selected="0">
            <x v="2"/>
          </reference>
        </references>
      </pivotArea>
    </format>
    <format dxfId="278">
      <pivotArea dataOnly="0" labelOnly="1" fieldPosition="0">
        <references count="2">
          <reference field="42" count="1">
            <x v="1"/>
          </reference>
          <reference field="44" count="1" selected="0">
            <x v="2"/>
          </reference>
        </references>
      </pivotArea>
    </format>
    <format dxfId="279">
      <pivotArea collapsedLevelsAreSubtotals="1" fieldPosition="0">
        <references count="4">
          <reference field="6" count="1">
            <x v="14"/>
          </reference>
          <reference field="32" count="1" selected="0">
            <x v="1"/>
          </reference>
          <reference field="42" count="1" selected="0">
            <x v="11"/>
          </reference>
          <reference field="44" count="1" selected="0">
            <x v="1"/>
          </reference>
        </references>
      </pivotArea>
    </format>
    <format dxfId="280">
      <pivotArea collapsedLevelsAreSubtotals="1" fieldPosition="0">
        <references count="4">
          <reference field="6" count="1">
            <x v="3"/>
          </reference>
          <reference field="32" count="1" selected="0">
            <x v="1"/>
          </reference>
          <reference field="42" count="1" selected="0">
            <x v="12"/>
          </reference>
          <reference field="44" count="1" selected="0">
            <x v="1"/>
          </reference>
        </references>
      </pivotArea>
    </format>
    <format dxfId="281">
      <pivotArea collapsedLevelsAreSubtotals="1" fieldPosition="0">
        <references count="4">
          <reference field="6" count="1">
            <x v="2"/>
          </reference>
          <reference field="32" count="1" selected="0">
            <x v="1"/>
          </reference>
          <reference field="42" count="1" selected="0">
            <x v="1"/>
          </reference>
          <reference field="44" count="1" selected="0">
            <x v="2"/>
          </reference>
        </references>
      </pivotArea>
    </format>
    <format dxfId="282">
      <pivotArea collapsedLevelsAreSubtotals="1" fieldPosition="0">
        <references count="4">
          <reference field="6" count="1">
            <x v="2"/>
          </reference>
          <reference field="32" count="1" selected="0">
            <x v="1"/>
          </reference>
          <reference field="42" count="1" selected="0">
            <x v="1"/>
          </reference>
          <reference field="44" count="1" selected="0">
            <x v="2"/>
          </reference>
        </references>
      </pivotArea>
    </format>
    <format dxfId="283">
      <pivotArea collapsedLevelsAreSubtotals="1" fieldPosition="0">
        <references count="4">
          <reference field="6" count="1">
            <x v="16"/>
          </reference>
          <reference field="32" count="1" selected="0">
            <x v="1"/>
          </reference>
          <reference field="42" count="1" selected="0">
            <x v="1"/>
          </reference>
          <reference field="44" count="1" selected="0">
            <x v="2"/>
          </reference>
        </references>
      </pivotArea>
    </format>
    <format dxfId="284">
      <pivotArea collapsedLevelsAreSubtotals="1" fieldPosition="0">
        <references count="4">
          <reference field="6" count="1">
            <x v="20"/>
          </reference>
          <reference field="32" count="1" selected="0">
            <x v="1"/>
          </reference>
          <reference field="42" count="1" selected="0">
            <x v="1"/>
          </reference>
          <reference field="44" count="1" selected="0">
            <x v="2"/>
          </reference>
        </references>
      </pivotArea>
    </format>
    <format dxfId="285">
      <pivotArea collapsedLevelsAreSubtotals="1" fieldPosition="0">
        <references count="4">
          <reference field="6" count="1">
            <x v="23"/>
          </reference>
          <reference field="32" count="1" selected="0">
            <x v="1"/>
          </reference>
          <reference field="42" count="1" selected="0">
            <x v="1"/>
          </reference>
          <reference field="44" count="1" selected="0">
            <x v="2"/>
          </reference>
        </references>
      </pivotArea>
    </format>
    <format dxfId="286">
      <pivotArea collapsedLevelsAreSubtotals="1" fieldPosition="0">
        <references count="4">
          <reference field="6" count="1">
            <x v="31"/>
          </reference>
          <reference field="32" count="1" selected="0">
            <x v="1"/>
          </reference>
          <reference field="42" count="1" selected="0">
            <x v="1"/>
          </reference>
          <reference field="44" count="1" selected="0">
            <x v="2"/>
          </reference>
        </references>
      </pivotArea>
    </format>
    <format dxfId="287">
      <pivotArea collapsedLevelsAreSubtotals="1" fieldPosition="0">
        <references count="4">
          <reference field="6" count="1">
            <x v="4"/>
          </reference>
          <reference field="32" count="1" selected="0">
            <x v="1"/>
          </reference>
          <reference field="42" count="1" selected="0">
            <x v="1"/>
          </reference>
          <reference field="44" count="1" selected="0">
            <x v="2"/>
          </reference>
        </references>
      </pivotArea>
    </format>
    <format dxfId="288">
      <pivotArea collapsedLevelsAreSubtotals="1" fieldPosition="0">
        <references count="4">
          <reference field="6" count="1">
            <x v="18"/>
          </reference>
          <reference field="32" count="1" selected="0">
            <x v="1"/>
          </reference>
          <reference field="42" count="1" selected="0">
            <x v="12"/>
          </reference>
          <reference field="44" count="1" selected="0">
            <x v="1"/>
          </reference>
        </references>
      </pivotArea>
    </format>
    <format dxfId="289">
      <pivotArea collapsedLevelsAreSubtotals="1" fieldPosition="0">
        <references count="3">
          <reference field="6" count="1">
            <x v="20"/>
          </reference>
          <reference field="42" count="1" selected="0">
            <x v="1"/>
          </reference>
          <reference field="44" count="1" selected="0">
            <x v="2"/>
          </reference>
        </references>
      </pivotArea>
    </format>
    <format dxfId="290">
      <pivotArea dataOnly="0" labelOnly="1" fieldPosition="0">
        <references count="3">
          <reference field="6" count="1">
            <x v="20"/>
          </reference>
          <reference field="42" count="1" selected="0">
            <x v="1"/>
          </reference>
          <reference field="44" count="1" selected="0">
            <x v="2"/>
          </reference>
        </references>
      </pivotArea>
    </format>
    <format dxfId="291">
      <pivotArea collapsedLevelsAreSubtotals="1" fieldPosition="0">
        <references count="3">
          <reference field="6" count="1">
            <x v="20"/>
          </reference>
          <reference field="42" count="1" selected="0">
            <x v="1"/>
          </reference>
          <reference field="44" count="1" selected="0">
            <x v="2"/>
          </reference>
        </references>
      </pivotArea>
    </format>
    <format dxfId="292">
      <pivotArea dataOnly="0" labelOnly="1" fieldPosition="0">
        <references count="3">
          <reference field="6" count="1">
            <x v="20"/>
          </reference>
          <reference field="42" count="1" selected="0">
            <x v="1"/>
          </reference>
          <reference field="44" count="1" selected="0">
            <x v="2"/>
          </reference>
        </references>
      </pivotArea>
    </format>
    <format dxfId="293">
      <pivotArea dataOnly="0" fieldPosition="0">
        <references count="1">
          <reference field="42" count="1">
            <x v="2"/>
          </reference>
        </references>
      </pivotArea>
    </format>
    <format dxfId="294">
      <pivotArea dataOnly="0" fieldPosition="0">
        <references count="1">
          <reference field="42" count="1">
            <x v="2"/>
          </reference>
        </references>
      </pivotArea>
    </format>
    <format dxfId="295">
      <pivotArea collapsedLevelsAreSubtotals="1" fieldPosition="0">
        <references count="4">
          <reference field="6" count="2">
            <x v="28"/>
            <x v="29"/>
          </reference>
          <reference field="32" count="1" selected="0">
            <x v="0"/>
          </reference>
          <reference field="42" count="1" selected="0">
            <x v="11"/>
          </reference>
          <reference field="44" count="1" selected="0">
            <x v="1"/>
          </reference>
        </references>
      </pivotArea>
    </format>
    <format dxfId="296">
      <pivotArea collapsedLevelsAreSubtotals="1" fieldPosition="0">
        <references count="4">
          <reference field="6" count="2">
            <x v="14"/>
            <x v="18"/>
          </reference>
          <reference field="32" count="1" selected="0">
            <x v="0"/>
          </reference>
          <reference field="42" count="1" selected="0">
            <x v="12"/>
          </reference>
          <reference field="44" count="1" selected="0">
            <x v="1"/>
          </reference>
        </references>
      </pivotArea>
    </format>
    <format dxfId="297">
      <pivotArea collapsedLevelsAreSubtotals="1" fieldPosition="0">
        <references count="3">
          <reference field="6" count="1">
            <x v="3"/>
          </reference>
          <reference field="42" count="1" selected="0">
            <x v="12"/>
          </reference>
          <reference field="44" count="1" selected="0">
            <x v="1"/>
          </reference>
        </references>
      </pivotArea>
    </format>
    <format dxfId="298">
      <pivotArea dataOnly="0" labelOnly="1" fieldPosition="0">
        <references count="3">
          <reference field="6" count="1">
            <x v="3"/>
          </reference>
          <reference field="42" count="1" selected="0">
            <x v="12"/>
          </reference>
          <reference field="44" count="1" selected="0">
            <x v="1"/>
          </reference>
        </references>
      </pivotArea>
    </format>
    <format dxfId="299">
      <pivotArea dataOnly="0" fieldPosition="0">
        <references count="1">
          <reference field="6" count="1">
            <x v="4"/>
          </reference>
        </references>
      </pivotArea>
    </format>
    <format dxfId="300">
      <pivotArea collapsedLevelsAreSubtotals="1" fieldPosition="0">
        <references count="3">
          <reference field="6" count="1">
            <x v="16"/>
          </reference>
          <reference field="42" count="1" selected="0">
            <x v="1"/>
          </reference>
          <reference field="44" count="1" selected="0">
            <x v="2"/>
          </reference>
        </references>
      </pivotArea>
    </format>
    <format dxfId="301">
      <pivotArea dataOnly="0" labelOnly="1" fieldPosition="0">
        <references count="3">
          <reference field="6" count="1">
            <x v="16"/>
          </reference>
          <reference field="42" count="1" selected="0">
            <x v="1"/>
          </reference>
          <reference field="44" count="1" selected="0">
            <x v="2"/>
          </reference>
        </references>
      </pivotArea>
    </format>
    <format dxfId="302">
      <pivotArea collapsedLevelsAreSubtotals="1" fieldPosition="0">
        <references count="3">
          <reference field="6" count="1">
            <x v="23"/>
          </reference>
          <reference field="42" count="1" selected="0">
            <x v="1"/>
          </reference>
          <reference field="44" count="1" selected="0">
            <x v="2"/>
          </reference>
        </references>
      </pivotArea>
    </format>
    <format dxfId="303">
      <pivotArea dataOnly="0" labelOnly="1" fieldPosition="0">
        <references count="3">
          <reference field="6" count="1">
            <x v="23"/>
          </reference>
          <reference field="42" count="1" selected="0">
            <x v="1"/>
          </reference>
          <reference field="44" count="1" selected="0">
            <x v="2"/>
          </reference>
        </references>
      </pivotArea>
    </format>
    <format dxfId="304">
      <pivotArea collapsedLevelsAreSubtotals="1" fieldPosition="0">
        <references count="3">
          <reference field="6" count="1">
            <x v="31"/>
          </reference>
          <reference field="42" count="1" selected="0">
            <x v="1"/>
          </reference>
          <reference field="44" count="1" selected="0">
            <x v="2"/>
          </reference>
        </references>
      </pivotArea>
    </format>
    <format dxfId="305">
      <pivotArea dataOnly="0" labelOnly="1" fieldPosition="0">
        <references count="3">
          <reference field="6" count="1">
            <x v="31"/>
          </reference>
          <reference field="42" count="1" selected="0">
            <x v="1"/>
          </reference>
          <reference field="44" count="1" selected="0">
            <x v="2"/>
          </reference>
        </references>
      </pivotArea>
    </format>
    <format dxfId="306">
      <pivotArea collapsedLevelsAreSubtotals="1" fieldPosition="0">
        <references count="3">
          <reference field="6" count="1">
            <x v="20"/>
          </reference>
          <reference field="42" count="1" selected="0">
            <x v="1"/>
          </reference>
          <reference field="44" count="1" selected="0">
            <x v="2"/>
          </reference>
        </references>
      </pivotArea>
    </format>
    <format dxfId="307">
      <pivotArea dataOnly="0" labelOnly="1" fieldPosition="0">
        <references count="3">
          <reference field="6" count="1">
            <x v="20"/>
          </reference>
          <reference field="42" count="1" selected="0">
            <x v="1"/>
          </reference>
          <reference field="44" count="1" selected="0">
            <x v="2"/>
          </reference>
        </references>
      </pivotArea>
    </format>
    <format dxfId="308">
      <pivotArea collapsedLevelsAreSubtotals="1" fieldPosition="0">
        <references count="3">
          <reference field="6" count="1">
            <x v="27"/>
          </reference>
          <reference field="42" count="1" selected="0">
            <x v="2"/>
          </reference>
          <reference field="44" count="1" selected="0">
            <x v="2"/>
          </reference>
        </references>
      </pivotArea>
    </format>
    <format dxfId="309">
      <pivotArea dataOnly="0" labelOnly="1" fieldPosition="0">
        <references count="3">
          <reference field="6" count="1">
            <x v="27"/>
          </reference>
          <reference field="42" count="1" selected="0">
            <x v="2"/>
          </reference>
          <reference field="44" count="1" selected="0">
            <x v="2"/>
          </reference>
        </references>
      </pivotArea>
    </format>
    <format dxfId="310">
      <pivotArea collapsedLevelsAreSubtotals="1" fieldPosition="0">
        <references count="3">
          <reference field="6" count="1">
            <x v="32"/>
          </reference>
          <reference field="42" count="1" selected="0">
            <x v="2"/>
          </reference>
          <reference field="44" count="1" selected="0">
            <x v="2"/>
          </reference>
        </references>
      </pivotArea>
    </format>
    <format dxfId="311">
      <pivotArea dataOnly="0" labelOnly="1" fieldPosition="0">
        <references count="3">
          <reference field="6" count="1">
            <x v="32"/>
          </reference>
          <reference field="42" count="1" selected="0">
            <x v="2"/>
          </reference>
          <reference field="44" count="1" selected="0">
            <x v="2"/>
          </reference>
        </references>
      </pivotArea>
    </format>
    <format dxfId="312">
      <pivotArea collapsedLevelsAreSubtotals="1" fieldPosition="0">
        <references count="3">
          <reference field="6" count="1">
            <x v="33"/>
          </reference>
          <reference field="42" count="1" selected="0">
            <x v="2"/>
          </reference>
          <reference field="44" count="1" selected="0">
            <x v="2"/>
          </reference>
        </references>
      </pivotArea>
    </format>
    <format dxfId="313">
      <pivotArea dataOnly="0" labelOnly="1" fieldPosition="0">
        <references count="3">
          <reference field="6" count="1">
            <x v="33"/>
          </reference>
          <reference field="42" count="1" selected="0">
            <x v="2"/>
          </reference>
          <reference field="44" count="1" selected="0">
            <x v="2"/>
          </reference>
        </references>
      </pivotArea>
    </format>
    <format dxfId="314">
      <pivotArea collapsedLevelsAreSubtotals="1" fieldPosition="0">
        <references count="3">
          <reference field="6" count="1">
            <x v="34"/>
          </reference>
          <reference field="42" count="1" selected="0">
            <x v="2"/>
          </reference>
          <reference field="44" count="1" selected="0">
            <x v="2"/>
          </reference>
        </references>
      </pivotArea>
    </format>
    <format dxfId="315">
      <pivotArea dataOnly="0" labelOnly="1" fieldPosition="0">
        <references count="3">
          <reference field="6" count="1">
            <x v="34"/>
          </reference>
          <reference field="42" count="1" selected="0">
            <x v="2"/>
          </reference>
          <reference field="44" count="1" selected="0">
            <x v="2"/>
          </reference>
        </references>
      </pivotArea>
    </format>
    <format dxfId="316">
      <pivotArea collapsedLevelsAreSubtotals="1" fieldPosition="0">
        <references count="3">
          <reference field="6" count="1">
            <x v="2"/>
          </reference>
          <reference field="42" count="1" selected="0">
            <x v="3"/>
          </reference>
          <reference field="44" count="1" selected="0">
            <x v="2"/>
          </reference>
        </references>
      </pivotArea>
    </format>
    <format dxfId="317">
      <pivotArea dataOnly="0" labelOnly="1" fieldPosition="0">
        <references count="3">
          <reference field="6" count="1">
            <x v="2"/>
          </reference>
          <reference field="42" count="1" selected="0">
            <x v="3"/>
          </reference>
          <reference field="44" count="1" selected="0">
            <x v="2"/>
          </reference>
        </references>
      </pivotArea>
    </format>
    <format dxfId="318">
      <pivotArea collapsedLevelsAreSubtotals="1" fieldPosition="0">
        <references count="3">
          <reference field="6" count="1">
            <x v="2"/>
          </reference>
          <reference field="42" count="1" selected="0">
            <x v="3"/>
          </reference>
          <reference field="44" count="1" selected="0">
            <x v="2"/>
          </reference>
        </references>
      </pivotArea>
    </format>
    <format dxfId="319">
      <pivotArea dataOnly="0" labelOnly="1" fieldPosition="0">
        <references count="3">
          <reference field="6" count="1">
            <x v="2"/>
          </reference>
          <reference field="42" count="1" selected="0">
            <x v="3"/>
          </reference>
          <reference field="4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FD4CA9-428A-4462-96E0-B4DBC2617932}" name="Invoice per Month" cacheId="58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L3:AP21" firstHeaderRow="1" firstDataRow="2" firstDataCol="1"/>
  <pivotFields count="48">
    <pivotField showAll="0">
      <items count="15">
        <item x="0"/>
        <item x="1"/>
        <item x="2"/>
        <item x="3"/>
        <item x="4"/>
        <item x="5"/>
        <item x="6"/>
        <item x="7"/>
        <item x="8"/>
        <item x="9"/>
        <item x="10"/>
        <item x="11"/>
        <item h="1" x="13"/>
        <item h="1" x="12"/>
        <item t="default"/>
      </items>
    </pivotField>
    <pivotField showAll="0">
      <items count="7">
        <item x="1"/>
        <item x="2"/>
        <item x="0"/>
        <item x="3"/>
        <item x="4"/>
        <item x="5"/>
        <item t="default"/>
      </items>
    </pivotField>
    <pivotField showAll="0"/>
    <pivotField showAll="0"/>
    <pivotField showAll="0"/>
    <pivotField showAll="0"/>
    <pivotField showAll="0"/>
    <pivotField showAll="0">
      <items count="15">
        <item x="11"/>
        <item x="6"/>
        <item x="8"/>
        <item x="9"/>
        <item x="2"/>
        <item x="7"/>
        <item x="4"/>
        <item x="0"/>
        <item x="5"/>
        <item x="1"/>
        <item x="10"/>
        <item x="12"/>
        <item x="3"/>
        <item x="1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items count="46">
        <item x="0"/>
        <item x="6"/>
        <item x="5"/>
        <item x="8"/>
        <item x="4"/>
        <item x="9"/>
        <item x="10"/>
        <item x="15"/>
        <item x="1"/>
        <item x="11"/>
        <item x="18"/>
        <item x="2"/>
        <item x="19"/>
        <item x="14"/>
        <item x="13"/>
        <item x="21"/>
        <item x="12"/>
        <item x="20"/>
        <item x="24"/>
        <item x="3"/>
        <item x="16"/>
        <item x="17"/>
        <item x="26"/>
        <item m="1" x="39"/>
        <item m="1" x="44"/>
        <item m="1" x="43"/>
        <item m="1" x="41"/>
        <item m="1" x="40"/>
        <item m="1" x="38"/>
        <item m="1" x="42"/>
        <item x="7"/>
        <item x="35"/>
        <item m="1" x="36"/>
        <item x="29"/>
        <item x="31"/>
        <item x="22"/>
        <item x="27"/>
        <item x="28"/>
        <item m="1" x="37"/>
        <item x="25"/>
        <item x="23"/>
        <item x="33"/>
        <item x="34"/>
        <item x="30"/>
        <item x="32"/>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showAll="0">
      <items count="5">
        <item h="1" sd="0" x="0"/>
        <item x="1"/>
        <item x="2"/>
        <item h="1" x="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Row" showAll="0">
      <items count="5">
        <item sd="0" x="0"/>
        <item x="1"/>
        <item x="2"/>
        <item x="3"/>
        <item t="default"/>
      </items>
    </pivotField>
    <pivotField dragToRow="0" dragToCol="0" dragToPage="0" showAll="0" defaultSubtotal="0"/>
    <pivotField dragToRow="0" dragToCol="0" dragToPage="0" showAll="0" defaultSubtotal="0"/>
    <pivotField dragToRow="0" dragToCol="0" dragToPage="0" showAll="0" defaultSubtotal="0"/>
  </pivotFields>
  <rowFields count="2">
    <field x="44"/>
    <field x="42"/>
  </rowFields>
  <rowItems count="17">
    <i>
      <x/>
    </i>
    <i>
      <x v="1"/>
    </i>
    <i r="1">
      <x v="1"/>
    </i>
    <i r="1">
      <x v="3"/>
    </i>
    <i r="1">
      <x v="5"/>
    </i>
    <i r="1">
      <x v="6"/>
    </i>
    <i r="1">
      <x v="7"/>
    </i>
    <i r="1">
      <x v="8"/>
    </i>
    <i r="1">
      <x v="9"/>
    </i>
    <i r="1">
      <x v="10"/>
    </i>
    <i r="1">
      <x v="11"/>
    </i>
    <i r="1">
      <x v="12"/>
    </i>
    <i>
      <x v="2"/>
    </i>
    <i r="1">
      <x v="1"/>
    </i>
    <i r="1">
      <x v="2"/>
    </i>
    <i r="1">
      <x v="3"/>
    </i>
    <i t="grand">
      <x/>
    </i>
  </rowItems>
  <colFields count="1">
    <field x="32"/>
  </colFields>
  <colItems count="4">
    <i>
      <x/>
    </i>
    <i>
      <x v="1"/>
    </i>
    <i>
      <x v="2"/>
    </i>
    <i t="grand">
      <x/>
    </i>
  </colItems>
  <dataFields count="1">
    <dataField name="Sum of PO Amount" fld="8" baseField="44" baseItem="0" numFmtId="165"/>
  </dataFields>
  <formats count="4">
    <format dxfId="242">
      <pivotArea dataOnly="0" labelOnly="1" fieldPosition="0">
        <references count="1">
          <reference field="32" count="2">
            <x v="0"/>
            <x v="1"/>
          </reference>
        </references>
      </pivotArea>
    </format>
    <format dxfId="243">
      <pivotArea dataOnly="0" labelOnly="1" grandCol="1" outline="0" fieldPosition="0"/>
    </format>
    <format dxfId="244">
      <pivotArea dataOnly="0" labelOnly="1" fieldPosition="0">
        <references count="1">
          <reference field="32" count="2">
            <x v="0"/>
            <x v="1"/>
          </reference>
        </references>
      </pivotArea>
    </format>
    <format dxfId="245">
      <pivotArea dataOnly="0" labelOnly="1" grandCol="1" outline="0" fieldPosition="0"/>
    </format>
  </formats>
  <chartFormats count="15">
    <chartFormat chart="1" format="0" series="1">
      <pivotArea type="data" outline="0" fieldPosition="0">
        <references count="2">
          <reference field="4294967294" count="1" selected="0">
            <x v="0"/>
          </reference>
          <reference field="32" count="1" selected="0">
            <x v="0"/>
          </reference>
        </references>
      </pivotArea>
    </chartFormat>
    <chartFormat chart="1" format="1" series="1">
      <pivotArea type="data" outline="0" fieldPosition="0">
        <references count="2">
          <reference field="4294967294" count="1" selected="0">
            <x v="0"/>
          </reference>
          <reference field="32" count="1" selected="0">
            <x v="1"/>
          </reference>
        </references>
      </pivotArea>
    </chartFormat>
    <chartFormat chart="15" format="4" series="1">
      <pivotArea type="data" outline="0" fieldPosition="0">
        <references count="2">
          <reference field="4294967294" count="1" selected="0">
            <x v="0"/>
          </reference>
          <reference field="32" count="1" selected="0">
            <x v="0"/>
          </reference>
        </references>
      </pivotArea>
    </chartFormat>
    <chartFormat chart="15" format="5" series="1">
      <pivotArea type="data" outline="0" fieldPosition="0">
        <references count="2">
          <reference field="4294967294" count="1" selected="0">
            <x v="0"/>
          </reference>
          <reference field="32" count="1" selected="0">
            <x v="1"/>
          </reference>
        </references>
      </pivotArea>
    </chartFormat>
    <chartFormat chart="15" format="6" series="1">
      <pivotArea type="data" outline="0" fieldPosition="0">
        <references count="2">
          <reference field="4294967294" count="1" selected="0">
            <x v="0"/>
          </reference>
          <reference field="32" count="1" selected="0">
            <x v="2"/>
          </reference>
        </references>
      </pivotArea>
    </chartFormat>
    <chartFormat chart="15" format="7" series="1">
      <pivotArea type="data" outline="0" fieldPosition="0">
        <references count="1">
          <reference field="4294967294" count="1" selected="0">
            <x v="0"/>
          </reference>
        </references>
      </pivotArea>
    </chartFormat>
    <chartFormat chart="15" format="8">
      <pivotArea type="data" outline="0" fieldPosition="0">
        <references count="4">
          <reference field="4294967294" count="1" selected="0">
            <x v="0"/>
          </reference>
          <reference field="32" count="1" selected="0">
            <x v="1"/>
          </reference>
          <reference field="42" count="1" selected="0">
            <x v="11"/>
          </reference>
          <reference field="44" count="1" selected="0">
            <x v="1"/>
          </reference>
        </references>
      </pivotArea>
    </chartFormat>
    <chartFormat chart="18" format="9" series="1">
      <pivotArea type="data" outline="0" fieldPosition="0">
        <references count="2">
          <reference field="4294967294" count="1" selected="0">
            <x v="0"/>
          </reference>
          <reference field="32" count="1" selected="0">
            <x v="0"/>
          </reference>
        </references>
      </pivotArea>
    </chartFormat>
    <chartFormat chart="18" format="10" series="1">
      <pivotArea type="data" outline="0" fieldPosition="0">
        <references count="2">
          <reference field="4294967294" count="1" selected="0">
            <x v="0"/>
          </reference>
          <reference field="32" count="1" selected="0">
            <x v="1"/>
          </reference>
        </references>
      </pivotArea>
    </chartFormat>
    <chartFormat chart="18" format="11">
      <pivotArea type="data" outline="0" fieldPosition="0">
        <references count="4">
          <reference field="4294967294" count="1" selected="0">
            <x v="0"/>
          </reference>
          <reference field="32" count="1" selected="0">
            <x v="1"/>
          </reference>
          <reference field="42" count="1" selected="0">
            <x v="11"/>
          </reference>
          <reference field="44" count="1" selected="0">
            <x v="1"/>
          </reference>
        </references>
      </pivotArea>
    </chartFormat>
    <chartFormat chart="18" format="12" series="1">
      <pivotArea type="data" outline="0" fieldPosition="0">
        <references count="2">
          <reference field="4294967294" count="1" selected="0">
            <x v="0"/>
          </reference>
          <reference field="32" count="1" selected="0">
            <x v="2"/>
          </reference>
        </references>
      </pivotArea>
    </chartFormat>
    <chartFormat chart="19" format="13" series="1">
      <pivotArea type="data" outline="0" fieldPosition="0">
        <references count="2">
          <reference field="4294967294" count="1" selected="0">
            <x v="0"/>
          </reference>
          <reference field="32" count="1" selected="0">
            <x v="0"/>
          </reference>
        </references>
      </pivotArea>
    </chartFormat>
    <chartFormat chart="19" format="14" series="1">
      <pivotArea type="data" outline="0" fieldPosition="0">
        <references count="2">
          <reference field="4294967294" count="1" selected="0">
            <x v="0"/>
          </reference>
          <reference field="32" count="1" selected="0">
            <x v="1"/>
          </reference>
        </references>
      </pivotArea>
    </chartFormat>
    <chartFormat chart="19" format="15">
      <pivotArea type="data" outline="0" fieldPosition="0">
        <references count="4">
          <reference field="4294967294" count="1" selected="0">
            <x v="0"/>
          </reference>
          <reference field="32" count="1" selected="0">
            <x v="1"/>
          </reference>
          <reference field="42" count="1" selected="0">
            <x v="11"/>
          </reference>
          <reference field="44" count="1" selected="0">
            <x v="1"/>
          </reference>
        </references>
      </pivotArea>
    </chartFormat>
    <chartFormat chart="19" format="16" series="1">
      <pivotArea type="data" outline="0" fieldPosition="0">
        <references count="2">
          <reference field="4294967294" count="1" selected="0">
            <x v="0"/>
          </reference>
          <reference field="3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418FEB-6D89-4F7F-A1C6-ED43065A963B}" name="Sales per BU" cacheId="58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X2:Y11" firstHeaderRow="1" firstDataRow="1" firstDataCol="1"/>
  <pivotFields count="48">
    <pivotField showAll="0">
      <items count="15">
        <item x="0"/>
        <item x="1"/>
        <item x="2"/>
        <item x="3"/>
        <item x="4"/>
        <item x="5"/>
        <item x="6"/>
        <item x="7"/>
        <item x="8"/>
        <item x="9"/>
        <item x="10"/>
        <item x="11"/>
        <item h="1" x="13"/>
        <item h="1" x="12"/>
        <item t="default"/>
      </items>
    </pivotField>
    <pivotField axis="axisRow" showAll="0">
      <items count="7">
        <item x="1"/>
        <item x="2"/>
        <item x="0"/>
        <item x="3"/>
        <item x="4"/>
        <item x="5"/>
        <item t="default"/>
      </items>
    </pivotField>
    <pivotField showAll="0"/>
    <pivotField showAll="0"/>
    <pivotField showAll="0"/>
    <pivotField showAll="0"/>
    <pivotField showAll="0"/>
    <pivotField showAll="0">
      <items count="15">
        <item x="11"/>
        <item x="6"/>
        <item x="8"/>
        <item x="9"/>
        <item x="2"/>
        <item x="7"/>
        <item x="4"/>
        <item x="0"/>
        <item x="5"/>
        <item x="1"/>
        <item x="10"/>
        <item x="12"/>
        <item x="3"/>
        <item x="1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items count="46">
        <item x="0"/>
        <item x="6"/>
        <item x="5"/>
        <item x="8"/>
        <item x="4"/>
        <item x="9"/>
        <item x="10"/>
        <item x="15"/>
        <item x="1"/>
        <item x="11"/>
        <item x="18"/>
        <item x="2"/>
        <item x="19"/>
        <item x="14"/>
        <item x="13"/>
        <item x="21"/>
        <item x="12"/>
        <item x="20"/>
        <item x="24"/>
        <item x="3"/>
        <item x="16"/>
        <item x="17"/>
        <item x="26"/>
        <item m="1" x="39"/>
        <item m="1" x="44"/>
        <item m="1" x="43"/>
        <item m="1" x="41"/>
        <item m="1" x="40"/>
        <item m="1" x="38"/>
        <item m="1" x="42"/>
        <item x="7"/>
        <item x="35"/>
        <item m="1" x="36"/>
        <item x="29"/>
        <item x="31"/>
        <item x="22"/>
        <item x="27"/>
        <item x="28"/>
        <item m="1" x="37"/>
        <item x="25"/>
        <item x="23"/>
        <item x="33"/>
        <item x="34"/>
        <item x="30"/>
        <item x="32"/>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Row" showAll="0">
      <items count="5">
        <item h="1" sd="0" x="0"/>
        <item x="1"/>
        <item x="2"/>
        <item h="1"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 dragToRow="0" dragToCol="0" dragToPage="0" showAll="0" defaultSubtotal="0"/>
  </pivotFields>
  <rowFields count="2">
    <field x="41"/>
    <field x="1"/>
  </rowFields>
  <rowItems count="9">
    <i>
      <x v="1"/>
    </i>
    <i r="1">
      <x v="2"/>
    </i>
    <i>
      <x v="2"/>
    </i>
    <i r="1">
      <x/>
    </i>
    <i r="1">
      <x v="1"/>
    </i>
    <i r="1">
      <x v="2"/>
    </i>
    <i r="1">
      <x v="3"/>
    </i>
    <i r="1">
      <x v="4"/>
    </i>
    <i t="grand">
      <x/>
    </i>
  </rowItems>
  <colItems count="1">
    <i/>
  </colItems>
  <dataFields count="1">
    <dataField name="Sum of PO Amount" fld="8" baseField="44" baseItem="0" numFmtId="165"/>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564501-6776-492E-81FA-E7C5046AA6FA}" name="Sales per Customer" cacheId="58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L2:M17" firstHeaderRow="1" firstDataRow="1" firstDataCol="1"/>
  <pivotFields count="48">
    <pivotField showAll="0">
      <items count="15">
        <item x="0"/>
        <item x="1"/>
        <item x="2"/>
        <item x="3"/>
        <item x="4"/>
        <item x="5"/>
        <item x="6"/>
        <item x="7"/>
        <item x="8"/>
        <item x="9"/>
        <item x="10"/>
        <item x="11"/>
        <item h="1" x="13"/>
        <item h="1" x="12"/>
        <item t="default"/>
      </items>
    </pivotField>
    <pivotField showAll="0">
      <items count="7">
        <item x="1"/>
        <item x="2"/>
        <item x="0"/>
        <item x="3"/>
        <item x="4"/>
        <item x="5"/>
        <item t="default"/>
      </items>
    </pivotField>
    <pivotField showAll="0"/>
    <pivotField showAll="0"/>
    <pivotField showAll="0"/>
    <pivotField showAll="0"/>
    <pivotField showAll="0"/>
    <pivotField axis="axisRow" showAll="0">
      <items count="15">
        <item x="11"/>
        <item x="6"/>
        <item x="8"/>
        <item x="9"/>
        <item x="2"/>
        <item x="7"/>
        <item x="4"/>
        <item x="0"/>
        <item x="5"/>
        <item x="1"/>
        <item x="10"/>
        <item x="3"/>
        <item x="13"/>
        <item x="1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items count="46">
        <item x="0"/>
        <item x="6"/>
        <item x="5"/>
        <item x="8"/>
        <item x="4"/>
        <item x="9"/>
        <item x="10"/>
        <item x="15"/>
        <item x="1"/>
        <item x="11"/>
        <item x="18"/>
        <item x="2"/>
        <item x="19"/>
        <item x="14"/>
        <item x="13"/>
        <item x="21"/>
        <item x="12"/>
        <item x="20"/>
        <item x="24"/>
        <item x="3"/>
        <item x="16"/>
        <item x="17"/>
        <item x="26"/>
        <item m="1" x="39"/>
        <item m="1" x="44"/>
        <item m="1" x="43"/>
        <item m="1" x="41"/>
        <item m="1" x="40"/>
        <item m="1" x="38"/>
        <item m="1" x="42"/>
        <item x="7"/>
        <item x="35"/>
        <item m="1" x="36"/>
        <item x="29"/>
        <item x="31"/>
        <item x="22"/>
        <item x="27"/>
        <item x="28"/>
        <item m="1" x="37"/>
        <item x="25"/>
        <item x="23"/>
        <item x="33"/>
        <item x="34"/>
        <item x="30"/>
        <item x="32"/>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showAll="0">
      <items count="5">
        <item h="1" x="0"/>
        <item x="1"/>
        <item x="2"/>
        <item h="1"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7"/>
  </rowFields>
  <rowItems count="15">
    <i>
      <x/>
    </i>
    <i>
      <x v="1"/>
    </i>
    <i>
      <x v="2"/>
    </i>
    <i>
      <x v="3"/>
    </i>
    <i>
      <x v="4"/>
    </i>
    <i>
      <x v="5"/>
    </i>
    <i>
      <x v="6"/>
    </i>
    <i>
      <x v="7"/>
    </i>
    <i>
      <x v="8"/>
    </i>
    <i>
      <x v="9"/>
    </i>
    <i>
      <x v="10"/>
    </i>
    <i>
      <x v="11"/>
    </i>
    <i>
      <x v="12"/>
    </i>
    <i>
      <x v="13"/>
    </i>
    <i t="grand">
      <x/>
    </i>
  </rowItems>
  <colItems count="1">
    <i/>
  </colItems>
  <dataFields count="1">
    <dataField name="Sum of PO Amount" fld="8" baseField="44"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A75360-CF14-4446-B847-C97D53F95833}" name="Margen Data" cacheId="58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I3:BO40" firstHeaderRow="0" firstDataRow="1" firstDataCol="1"/>
  <pivotFields count="48">
    <pivotField showAll="0">
      <items count="15">
        <item x="0"/>
        <item x="1"/>
        <item x="2"/>
        <item x="3"/>
        <item x="4"/>
        <item x="5"/>
        <item x="6"/>
        <item x="7"/>
        <item x="8"/>
        <item x="9"/>
        <item x="10"/>
        <item x="11"/>
        <item h="1" x="13"/>
        <item h="1" x="12"/>
        <item t="default"/>
      </items>
    </pivotField>
    <pivotField axis="axisRow" showAll="0">
      <items count="7">
        <item x="1"/>
        <item x="2"/>
        <item x="0"/>
        <item x="3"/>
        <item x="4"/>
        <item sd="0" x="5"/>
        <item t="default" sd="0"/>
      </items>
    </pivotField>
    <pivotField showAll="0"/>
    <pivotField showAll="0"/>
    <pivotField showAll="0"/>
    <pivotField showAll="0"/>
    <pivotField axis="axisRow" showAll="0">
      <items count="36">
        <item x="18"/>
        <item m="1" x="33"/>
        <item x="25"/>
        <item x="19"/>
        <item x="4"/>
        <item x="5"/>
        <item x="9"/>
        <item x="0"/>
        <item x="2"/>
        <item x="3"/>
        <item x="7"/>
        <item x="8"/>
        <item x="11"/>
        <item x="15"/>
        <item x="16"/>
        <item x="17"/>
        <item x="24"/>
        <item m="1" x="32"/>
        <item x="20"/>
        <item x="13"/>
        <item x="14"/>
        <item x="6"/>
        <item x="10"/>
        <item x="21"/>
        <item x="12"/>
        <item m="1" x="34"/>
        <item h="1" x="31"/>
        <item x="22"/>
        <item x="23"/>
        <item x="26"/>
        <item x="1"/>
        <item x="27"/>
        <item x="28"/>
        <item x="29"/>
        <item x="30"/>
        <item t="default"/>
      </items>
    </pivotField>
    <pivotField showAll="0">
      <items count="15">
        <item x="11"/>
        <item x="6"/>
        <item x="8"/>
        <item x="9"/>
        <item x="2"/>
        <item x="7"/>
        <item x="4"/>
        <item x="0"/>
        <item x="5"/>
        <item x="1"/>
        <item x="10"/>
        <item x="12"/>
        <item x="3"/>
        <item x="13"/>
        <item t="default"/>
      </items>
    </pivotField>
    <pivotField dataField="1" showAll="0">
      <items count="44">
        <item x="38"/>
        <item x="27"/>
        <item x="35"/>
        <item x="5"/>
        <item x="8"/>
        <item x="10"/>
        <item x="21"/>
        <item x="25"/>
        <item x="20"/>
        <item x="18"/>
        <item x="26"/>
        <item x="23"/>
        <item x="24"/>
        <item x="15"/>
        <item x="29"/>
        <item x="3"/>
        <item x="7"/>
        <item x="40"/>
        <item x="32"/>
        <item x="19"/>
        <item x="12"/>
        <item x="9"/>
        <item x="28"/>
        <item x="41"/>
        <item x="39"/>
        <item x="22"/>
        <item x="13"/>
        <item x="16"/>
        <item x="33"/>
        <item x="37"/>
        <item x="42"/>
        <item x="2"/>
        <item x="14"/>
        <item x="36"/>
        <item x="0"/>
        <item x="11"/>
        <item x="30"/>
        <item x="4"/>
        <item x="17"/>
        <item x="34"/>
        <item x="6"/>
        <item x="1"/>
        <item x="31"/>
        <item t="default"/>
      </items>
    </pivotField>
    <pivotField showAll="0"/>
    <pivotField dataField="1" showAll="0"/>
    <pivotField dataField="1" showAll="0"/>
    <pivotField dataField="1" showAll="0"/>
    <pivotField showAll="0"/>
    <pivotField showAll="0"/>
    <pivotField showAll="0"/>
    <pivotField showAll="0">
      <items count="5">
        <item m="1"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items count="46">
        <item x="0"/>
        <item x="6"/>
        <item x="5"/>
        <item x="8"/>
        <item x="4"/>
        <item x="9"/>
        <item x="10"/>
        <item x="15"/>
        <item x="1"/>
        <item x="11"/>
        <item x="18"/>
        <item x="2"/>
        <item x="19"/>
        <item x="14"/>
        <item x="13"/>
        <item x="21"/>
        <item x="12"/>
        <item x="20"/>
        <item x="24"/>
        <item x="3"/>
        <item x="16"/>
        <item x="17"/>
        <item x="26"/>
        <item m="1" x="39"/>
        <item m="1" x="44"/>
        <item m="1" x="43"/>
        <item m="1" x="41"/>
        <item m="1" x="40"/>
        <item m="1" x="38"/>
        <item m="1" x="42"/>
        <item x="7"/>
        <item x="35"/>
        <item m="1" x="36"/>
        <item x="29"/>
        <item x="31"/>
        <item x="22"/>
        <item x="27"/>
        <item x="28"/>
        <item m="1" x="37"/>
        <item x="25"/>
        <item x="23"/>
        <item x="33"/>
        <item x="34"/>
        <item x="30"/>
        <item x="32"/>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showAll="0">
      <items count="5">
        <item h="1" x="0"/>
        <item x="1"/>
        <item x="2"/>
        <item h="1"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ataField="1" dragToRow="0" dragToCol="0" dragToPage="0" showAll="0" defaultSubtotal="0"/>
    <pivotField dragToRow="0" dragToCol="0" dragToPage="0" showAll="0" defaultSubtotal="0"/>
    <pivotField dataField="1" dragToRow="0" dragToCol="0" dragToPage="0" showAll="0" defaultSubtotal="0"/>
  </pivotFields>
  <rowFields count="2">
    <field x="1"/>
    <field x="6"/>
  </rowFields>
  <rowItems count="37">
    <i>
      <x/>
    </i>
    <i r="1">
      <x v="4"/>
    </i>
    <i>
      <x v="1"/>
    </i>
    <i r="1">
      <x v="2"/>
    </i>
    <i r="1">
      <x v="5"/>
    </i>
    <i r="1">
      <x v="6"/>
    </i>
    <i r="1">
      <x v="31"/>
    </i>
    <i r="1">
      <x v="32"/>
    </i>
    <i r="1">
      <x v="34"/>
    </i>
    <i>
      <x v="2"/>
    </i>
    <i r="1">
      <x v="7"/>
    </i>
    <i r="1">
      <x v="8"/>
    </i>
    <i r="1">
      <x v="9"/>
    </i>
    <i r="1">
      <x v="10"/>
    </i>
    <i r="1">
      <x v="11"/>
    </i>
    <i r="1">
      <x v="12"/>
    </i>
    <i r="1">
      <x v="13"/>
    </i>
    <i r="1">
      <x v="14"/>
    </i>
    <i r="1">
      <x v="15"/>
    </i>
    <i r="1">
      <x v="16"/>
    </i>
    <i r="1">
      <x v="18"/>
    </i>
    <i r="1">
      <x v="19"/>
    </i>
    <i r="1">
      <x v="20"/>
    </i>
    <i r="1">
      <x v="21"/>
    </i>
    <i r="1">
      <x v="22"/>
    </i>
    <i r="1">
      <x v="23"/>
    </i>
    <i r="1">
      <x v="24"/>
    </i>
    <i r="1">
      <x v="27"/>
    </i>
    <i r="1">
      <x v="30"/>
    </i>
    <i r="1">
      <x v="33"/>
    </i>
    <i>
      <x v="3"/>
    </i>
    <i r="1">
      <x/>
    </i>
    <i r="1">
      <x v="28"/>
    </i>
    <i r="1">
      <x v="29"/>
    </i>
    <i>
      <x v="4"/>
    </i>
    <i r="1">
      <x v="3"/>
    </i>
    <i t="grand">
      <x/>
    </i>
  </rowItems>
  <colFields count="1">
    <field x="-2"/>
  </colFields>
  <colItems count="6">
    <i>
      <x/>
    </i>
    <i i="1">
      <x v="1"/>
    </i>
    <i i="2">
      <x v="2"/>
    </i>
    <i i="3">
      <x v="3"/>
    </i>
    <i i="4">
      <x v="4"/>
    </i>
    <i i="5">
      <x v="5"/>
    </i>
  </colItems>
  <dataFields count="6">
    <dataField name="Sum of PO Amount" fld="8" baseField="44" baseItem="0" numFmtId="165"/>
    <dataField name="Sum of Quoted Cost" fld="11" baseField="1" baseItem="0" numFmtId="167"/>
    <dataField name="Sum of Quoted Rev" fld="10" baseField="1" baseItem="0" numFmtId="165"/>
    <dataField name="Quoted Margen" fld="45" baseField="1" baseItem="0" numFmtId="10"/>
    <dataField name="Total Expense" fld="12" baseField="1" baseItem="0" numFmtId="165"/>
    <dataField name="Real Margen" fld="47" baseField="1" baseItem="0" numFmtId="10"/>
  </dataFields>
  <formats count="72">
    <format dxfId="170">
      <pivotArea outline="0" fieldPosition="0">
        <references count="1">
          <reference field="4294967294" count="1">
            <x v="2"/>
          </reference>
        </references>
      </pivotArea>
    </format>
    <format dxfId="171">
      <pivotArea dataOnly="0" labelOnly="1" outline="0" fieldPosition="0">
        <references count="1">
          <reference field="4294967294" count="1">
            <x v="0"/>
          </reference>
        </references>
      </pivotArea>
    </format>
    <format dxfId="172">
      <pivotArea dataOnly="0" labelOnly="1" outline="0" fieldPosition="0">
        <references count="1">
          <reference field="4294967294" count="1">
            <x v="0"/>
          </reference>
        </references>
      </pivotArea>
    </format>
    <format dxfId="173">
      <pivotArea outline="0" fieldPosition="0">
        <references count="1">
          <reference field="4294967294" count="1">
            <x v="1"/>
          </reference>
        </references>
      </pivotArea>
    </format>
    <format dxfId="174">
      <pivotArea outline="0" fieldPosition="0">
        <references count="1">
          <reference field="4294967294" count="1">
            <x v="4"/>
          </reference>
        </references>
      </pivotArea>
    </format>
    <format dxfId="175">
      <pivotArea outline="0" fieldPosition="0">
        <references count="1">
          <reference field="4294967294" count="1">
            <x v="5"/>
          </reference>
        </references>
      </pivotArea>
    </format>
    <format dxfId="176">
      <pivotArea outline="0" fieldPosition="0">
        <references count="1">
          <reference field="4294967294" count="1">
            <x v="3"/>
          </reference>
        </references>
      </pivotArea>
    </format>
    <format dxfId="177">
      <pivotArea outline="0" collapsedLevelsAreSubtotals="1" fieldPosition="0">
        <references count="1">
          <reference field="4294967294" count="1" selected="0">
            <x v="3"/>
          </reference>
        </references>
      </pivotArea>
    </format>
    <format dxfId="178">
      <pivotArea dataOnly="0" labelOnly="1" outline="0" fieldPosition="0">
        <references count="1">
          <reference field="4294967294" count="1">
            <x v="3"/>
          </reference>
        </references>
      </pivotArea>
    </format>
    <format dxfId="179">
      <pivotArea outline="0" collapsedLevelsAreSubtotals="1" fieldPosition="0">
        <references count="1">
          <reference field="4294967294" count="1" selected="0">
            <x v="5"/>
          </reference>
        </references>
      </pivotArea>
    </format>
    <format dxfId="180">
      <pivotArea dataOnly="0" labelOnly="1" outline="0" fieldPosition="0">
        <references count="1">
          <reference field="4294967294" count="1">
            <x v="5"/>
          </reference>
        </references>
      </pivotArea>
    </format>
    <format dxfId="181">
      <pivotArea type="all" dataOnly="0" outline="0" fieldPosition="0"/>
    </format>
    <format dxfId="182">
      <pivotArea outline="0" collapsedLevelsAreSubtotals="1" fieldPosition="0"/>
    </format>
    <format dxfId="183">
      <pivotArea field="1" type="button" dataOnly="0" labelOnly="1" outline="0" axis="axisRow" fieldPosition="0"/>
    </format>
    <format dxfId="184">
      <pivotArea dataOnly="0" labelOnly="1" fieldPosition="0">
        <references count="1">
          <reference field="1" count="5">
            <x v="0"/>
            <x v="1"/>
            <x v="2"/>
            <x v="3"/>
            <x v="4"/>
          </reference>
        </references>
      </pivotArea>
    </format>
    <format dxfId="185">
      <pivotArea dataOnly="0" labelOnly="1" grandRow="1" outline="0" fieldPosition="0"/>
    </format>
    <format dxfId="186">
      <pivotArea dataOnly="0" labelOnly="1" fieldPosition="0">
        <references count="2">
          <reference field="1" count="1" selected="0">
            <x v="0"/>
          </reference>
          <reference field="6" count="1">
            <x v="4"/>
          </reference>
        </references>
      </pivotArea>
    </format>
    <format dxfId="187">
      <pivotArea dataOnly="0" labelOnly="1" fieldPosition="0">
        <references count="2">
          <reference field="1" count="1" selected="0">
            <x v="1"/>
          </reference>
          <reference field="6" count="3">
            <x v="2"/>
            <x v="5"/>
            <x v="6"/>
          </reference>
        </references>
      </pivotArea>
    </format>
    <format dxfId="188">
      <pivotArea dataOnly="0" labelOnly="1" fieldPosition="0">
        <references count="2">
          <reference field="1" count="1" selected="0">
            <x v="2"/>
          </reference>
          <reference field="6" count="19">
            <x v="7"/>
            <x v="8"/>
            <x v="9"/>
            <x v="10"/>
            <x v="11"/>
            <x v="12"/>
            <x v="13"/>
            <x v="14"/>
            <x v="15"/>
            <x v="16"/>
            <x v="17"/>
            <x v="18"/>
            <x v="19"/>
            <x v="20"/>
            <x v="21"/>
            <x v="22"/>
            <x v="23"/>
            <x v="24"/>
            <x v="25"/>
          </reference>
        </references>
      </pivotArea>
    </format>
    <format dxfId="189">
      <pivotArea dataOnly="0" labelOnly="1" fieldPosition="0">
        <references count="2">
          <reference field="1" count="1" selected="0">
            <x v="3"/>
          </reference>
          <reference field="6" count="2">
            <x v="0"/>
            <x v="1"/>
          </reference>
        </references>
      </pivotArea>
    </format>
    <format dxfId="190">
      <pivotArea dataOnly="0" labelOnly="1" fieldPosition="0">
        <references count="2">
          <reference field="1" count="1" selected="0">
            <x v="4"/>
          </reference>
          <reference field="6" count="1">
            <x v="3"/>
          </reference>
        </references>
      </pivotArea>
    </format>
    <format dxfId="191">
      <pivotArea dataOnly="0" labelOnly="1" outline="0" fieldPosition="0">
        <references count="1">
          <reference field="4294967294" count="6">
            <x v="0"/>
            <x v="1"/>
            <x v="2"/>
            <x v="3"/>
            <x v="4"/>
            <x v="5"/>
          </reference>
        </references>
      </pivotArea>
    </format>
    <format dxfId="192">
      <pivotArea collapsedLevelsAreSubtotals="1" fieldPosition="0">
        <references count="1">
          <reference field="1" count="1">
            <x v="0"/>
          </reference>
        </references>
      </pivotArea>
    </format>
    <format dxfId="193">
      <pivotArea dataOnly="0" labelOnly="1" fieldPosition="0">
        <references count="1">
          <reference field="1" count="1">
            <x v="0"/>
          </reference>
        </references>
      </pivotArea>
    </format>
    <format dxfId="194">
      <pivotArea collapsedLevelsAreSubtotals="1" fieldPosition="0">
        <references count="1">
          <reference field="1" count="1">
            <x v="0"/>
          </reference>
        </references>
      </pivotArea>
    </format>
    <format dxfId="195">
      <pivotArea dataOnly="0" labelOnly="1" fieldPosition="0">
        <references count="1">
          <reference field="1" count="1">
            <x v="0"/>
          </reference>
        </references>
      </pivotArea>
    </format>
    <format dxfId="196">
      <pivotArea collapsedLevelsAreSubtotals="1" fieldPosition="0">
        <references count="1">
          <reference field="1" count="1">
            <x v="0"/>
          </reference>
        </references>
      </pivotArea>
    </format>
    <format dxfId="197">
      <pivotArea dataOnly="0" labelOnly="1" fieldPosition="0">
        <references count="1">
          <reference field="1" count="1">
            <x v="0"/>
          </reference>
        </references>
      </pivotArea>
    </format>
    <format dxfId="198">
      <pivotArea dataOnly="0" fieldPosition="0">
        <references count="1">
          <reference field="1" count="1">
            <x v="1"/>
          </reference>
        </references>
      </pivotArea>
    </format>
    <format dxfId="199">
      <pivotArea dataOnly="0" fieldPosition="0">
        <references count="1">
          <reference field="1" count="1">
            <x v="1"/>
          </reference>
        </references>
      </pivotArea>
    </format>
    <format dxfId="200">
      <pivotArea dataOnly="0" fieldPosition="0">
        <references count="1">
          <reference field="1" count="1">
            <x v="2"/>
          </reference>
        </references>
      </pivotArea>
    </format>
    <format dxfId="201">
      <pivotArea dataOnly="0" fieldPosition="0">
        <references count="1">
          <reference field="1" count="1">
            <x v="2"/>
          </reference>
        </references>
      </pivotArea>
    </format>
    <format dxfId="202">
      <pivotArea dataOnly="0" fieldPosition="0">
        <references count="1">
          <reference field="1" count="1">
            <x v="3"/>
          </reference>
        </references>
      </pivotArea>
    </format>
    <format dxfId="203">
      <pivotArea dataOnly="0" fieldPosition="0">
        <references count="1">
          <reference field="1" count="1">
            <x v="3"/>
          </reference>
        </references>
      </pivotArea>
    </format>
    <format dxfId="204">
      <pivotArea dataOnly="0" fieldPosition="0">
        <references count="1">
          <reference field="1" count="1">
            <x v="3"/>
          </reference>
        </references>
      </pivotArea>
    </format>
    <format dxfId="205">
      <pivotArea dataOnly="0" fieldPosition="0">
        <references count="1">
          <reference field="1" count="1">
            <x v="4"/>
          </reference>
        </references>
      </pivotArea>
    </format>
    <format dxfId="206">
      <pivotArea dataOnly="0" fieldPosition="0">
        <references count="1">
          <reference field="1" count="1">
            <x v="4"/>
          </reference>
        </references>
      </pivotArea>
    </format>
    <format dxfId="207">
      <pivotArea collapsedLevelsAreSubtotals="1" fieldPosition="0">
        <references count="2">
          <reference field="4294967294" count="3" selected="0">
            <x v="0"/>
            <x v="1"/>
            <x v="2"/>
          </reference>
          <reference field="1" count="1">
            <x v="0"/>
          </reference>
        </references>
      </pivotArea>
    </format>
    <format dxfId="208">
      <pivotArea collapsedLevelsAreSubtotals="1" fieldPosition="0">
        <references count="3">
          <reference field="4294967294" count="3" selected="0">
            <x v="0"/>
            <x v="1"/>
            <x v="2"/>
          </reference>
          <reference field="1" count="1" selected="0">
            <x v="0"/>
          </reference>
          <reference field="6" count="1">
            <x v="4"/>
          </reference>
        </references>
      </pivotArea>
    </format>
    <format dxfId="209">
      <pivotArea collapsedLevelsAreSubtotals="1" fieldPosition="0">
        <references count="2">
          <reference field="4294967294" count="3" selected="0">
            <x v="0"/>
            <x v="1"/>
            <x v="2"/>
          </reference>
          <reference field="1" count="1">
            <x v="1"/>
          </reference>
        </references>
      </pivotArea>
    </format>
    <format dxfId="210">
      <pivotArea collapsedLevelsAreSubtotals="1" fieldPosition="0">
        <references count="3">
          <reference field="4294967294" count="3" selected="0">
            <x v="0"/>
            <x v="1"/>
            <x v="2"/>
          </reference>
          <reference field="1" count="1" selected="0">
            <x v="1"/>
          </reference>
          <reference field="6" count="3">
            <x v="2"/>
            <x v="5"/>
            <x v="6"/>
          </reference>
        </references>
      </pivotArea>
    </format>
    <format dxfId="211">
      <pivotArea collapsedLevelsAreSubtotals="1" fieldPosition="0">
        <references count="2">
          <reference field="4294967294" count="3" selected="0">
            <x v="0"/>
            <x v="1"/>
            <x v="2"/>
          </reference>
          <reference field="1" count="1">
            <x v="2"/>
          </reference>
        </references>
      </pivotArea>
    </format>
    <format dxfId="212">
      <pivotArea collapsedLevelsAreSubtotals="1" fieldPosition="0">
        <references count="3">
          <reference field="4294967294" count="3" selected="0">
            <x v="0"/>
            <x v="1"/>
            <x v="2"/>
          </reference>
          <reference field="1" count="1" selected="0">
            <x v="2"/>
          </reference>
          <reference field="6" count="19">
            <x v="7"/>
            <x v="8"/>
            <x v="9"/>
            <x v="10"/>
            <x v="11"/>
            <x v="12"/>
            <x v="13"/>
            <x v="14"/>
            <x v="15"/>
            <x v="16"/>
            <x v="17"/>
            <x v="18"/>
            <x v="19"/>
            <x v="20"/>
            <x v="21"/>
            <x v="22"/>
            <x v="23"/>
            <x v="24"/>
            <x v="25"/>
          </reference>
        </references>
      </pivotArea>
    </format>
    <format dxfId="213">
      <pivotArea collapsedLevelsAreSubtotals="1" fieldPosition="0">
        <references count="2">
          <reference field="4294967294" count="3" selected="0">
            <x v="0"/>
            <x v="1"/>
            <x v="2"/>
          </reference>
          <reference field="1" count="1">
            <x v="3"/>
          </reference>
        </references>
      </pivotArea>
    </format>
    <format dxfId="214">
      <pivotArea collapsedLevelsAreSubtotals="1" fieldPosition="0">
        <references count="3">
          <reference field="4294967294" count="3" selected="0">
            <x v="0"/>
            <x v="1"/>
            <x v="2"/>
          </reference>
          <reference field="1" count="1" selected="0">
            <x v="3"/>
          </reference>
          <reference field="6" count="2">
            <x v="0"/>
            <x v="1"/>
          </reference>
        </references>
      </pivotArea>
    </format>
    <format dxfId="215">
      <pivotArea collapsedLevelsAreSubtotals="1" fieldPosition="0">
        <references count="2">
          <reference field="4294967294" count="3" selected="0">
            <x v="0"/>
            <x v="1"/>
            <x v="2"/>
          </reference>
          <reference field="1" count="1">
            <x v="4"/>
          </reference>
        </references>
      </pivotArea>
    </format>
    <format dxfId="216">
      <pivotArea collapsedLevelsAreSubtotals="1" fieldPosition="0">
        <references count="3">
          <reference field="4294967294" count="3" selected="0">
            <x v="0"/>
            <x v="1"/>
            <x v="2"/>
          </reference>
          <reference field="1" count="1" selected="0">
            <x v="4"/>
          </reference>
          <reference field="6" count="1">
            <x v="3"/>
          </reference>
        </references>
      </pivotArea>
    </format>
    <format dxfId="217">
      <pivotArea collapsedLevelsAreSubtotals="1" fieldPosition="0">
        <references count="2">
          <reference field="4294967294" count="1" selected="0">
            <x v="4"/>
          </reference>
          <reference field="1" count="1">
            <x v="0"/>
          </reference>
        </references>
      </pivotArea>
    </format>
    <format dxfId="218">
      <pivotArea collapsedLevelsAreSubtotals="1" fieldPosition="0">
        <references count="3">
          <reference field="4294967294" count="1" selected="0">
            <x v="4"/>
          </reference>
          <reference field="1" count="1" selected="0">
            <x v="0"/>
          </reference>
          <reference field="6" count="1">
            <x v="4"/>
          </reference>
        </references>
      </pivotArea>
    </format>
    <format dxfId="219">
      <pivotArea collapsedLevelsAreSubtotals="1" fieldPosition="0">
        <references count="2">
          <reference field="4294967294" count="1" selected="0">
            <x v="4"/>
          </reference>
          <reference field="1" count="1">
            <x v="1"/>
          </reference>
        </references>
      </pivotArea>
    </format>
    <format dxfId="220">
      <pivotArea collapsedLevelsAreSubtotals="1" fieldPosition="0">
        <references count="3">
          <reference field="4294967294" count="1" selected="0">
            <x v="4"/>
          </reference>
          <reference field="1" count="1" selected="0">
            <x v="1"/>
          </reference>
          <reference field="6" count="3">
            <x v="2"/>
            <x v="5"/>
            <x v="6"/>
          </reference>
        </references>
      </pivotArea>
    </format>
    <format dxfId="221">
      <pivotArea collapsedLevelsAreSubtotals="1" fieldPosition="0">
        <references count="2">
          <reference field="4294967294" count="1" selected="0">
            <x v="4"/>
          </reference>
          <reference field="1" count="1">
            <x v="2"/>
          </reference>
        </references>
      </pivotArea>
    </format>
    <format dxfId="222">
      <pivotArea collapsedLevelsAreSubtotals="1" fieldPosition="0">
        <references count="3">
          <reference field="4294967294" count="1" selected="0">
            <x v="4"/>
          </reference>
          <reference field="1" count="1" selected="0">
            <x v="2"/>
          </reference>
          <reference field="6" count="19">
            <x v="7"/>
            <x v="8"/>
            <x v="9"/>
            <x v="10"/>
            <x v="11"/>
            <x v="12"/>
            <x v="13"/>
            <x v="14"/>
            <x v="15"/>
            <x v="16"/>
            <x v="17"/>
            <x v="18"/>
            <x v="19"/>
            <x v="20"/>
            <x v="21"/>
            <x v="22"/>
            <x v="23"/>
            <x v="24"/>
            <x v="25"/>
          </reference>
        </references>
      </pivotArea>
    </format>
    <format dxfId="223">
      <pivotArea collapsedLevelsAreSubtotals="1" fieldPosition="0">
        <references count="2">
          <reference field="4294967294" count="1" selected="0">
            <x v="4"/>
          </reference>
          <reference field="1" count="1">
            <x v="3"/>
          </reference>
        </references>
      </pivotArea>
    </format>
    <format dxfId="224">
      <pivotArea collapsedLevelsAreSubtotals="1" fieldPosition="0">
        <references count="3">
          <reference field="4294967294" count="1" selected="0">
            <x v="4"/>
          </reference>
          <reference field="1" count="1" selected="0">
            <x v="3"/>
          </reference>
          <reference field="6" count="2">
            <x v="0"/>
            <x v="1"/>
          </reference>
        </references>
      </pivotArea>
    </format>
    <format dxfId="225">
      <pivotArea collapsedLevelsAreSubtotals="1" fieldPosition="0">
        <references count="2">
          <reference field="4294967294" count="1" selected="0">
            <x v="4"/>
          </reference>
          <reference field="1" count="1">
            <x v="4"/>
          </reference>
        </references>
      </pivotArea>
    </format>
    <format dxfId="226">
      <pivotArea collapsedLevelsAreSubtotals="1" fieldPosition="0">
        <references count="3">
          <reference field="4294967294" count="1" selected="0">
            <x v="4"/>
          </reference>
          <reference field="1" count="1" selected="0">
            <x v="4"/>
          </reference>
          <reference field="6" count="1">
            <x v="3"/>
          </reference>
        </references>
      </pivotArea>
    </format>
    <format dxfId="227">
      <pivotArea grandRow="1" outline="0" collapsedLevelsAreSubtotals="1" fieldPosition="0"/>
    </format>
    <format dxfId="228">
      <pivotArea dataOnly="0" labelOnly="1" grandRow="1" outline="0" fieldPosition="0"/>
    </format>
    <format dxfId="229">
      <pivotArea collapsedLevelsAreSubtotals="1" fieldPosition="0">
        <references count="2">
          <reference field="1" count="1" selected="0">
            <x v="2"/>
          </reference>
          <reference field="6" count="6">
            <x v="20"/>
            <x v="21"/>
            <x v="22"/>
            <x v="23"/>
            <x v="24"/>
            <x v="27"/>
          </reference>
        </references>
      </pivotArea>
    </format>
    <format dxfId="230">
      <pivotArea dataOnly="0" labelOnly="1" fieldPosition="0">
        <references count="2">
          <reference field="1" count="1" selected="0">
            <x v="2"/>
          </reference>
          <reference field="6" count="6">
            <x v="20"/>
            <x v="21"/>
            <x v="22"/>
            <x v="23"/>
            <x v="24"/>
            <x v="27"/>
          </reference>
        </references>
      </pivotArea>
    </format>
    <format dxfId="231">
      <pivotArea outline="0" collapsedLevelsAreSubtotals="1" fieldPosition="0">
        <references count="1">
          <reference field="4294967294" count="1" selected="0">
            <x v="5"/>
          </reference>
        </references>
      </pivotArea>
    </format>
    <format dxfId="232">
      <pivotArea dataOnly="0" labelOnly="1" outline="0" fieldPosition="0">
        <references count="1">
          <reference field="4294967294" count="1">
            <x v="5"/>
          </reference>
        </references>
      </pivotArea>
    </format>
    <format dxfId="233">
      <pivotArea outline="0" collapsedLevelsAreSubtotals="1" fieldPosition="0">
        <references count="1">
          <reference field="4294967294" count="1" selected="0">
            <x v="5"/>
          </reference>
        </references>
      </pivotArea>
    </format>
    <format dxfId="234">
      <pivotArea dataOnly="0" labelOnly="1" outline="0" fieldPosition="0">
        <references count="1">
          <reference field="4294967294" count="1">
            <x v="5"/>
          </reference>
        </references>
      </pivotArea>
    </format>
    <format dxfId="235">
      <pivotArea collapsedLevelsAreSubtotals="1" fieldPosition="0">
        <references count="2">
          <reference field="1" count="1" selected="0">
            <x v="2"/>
          </reference>
          <reference field="6" count="1">
            <x v="27"/>
          </reference>
        </references>
      </pivotArea>
    </format>
    <format dxfId="236">
      <pivotArea dataOnly="0" labelOnly="1" fieldPosition="0">
        <references count="2">
          <reference field="1" count="1" selected="0">
            <x v="2"/>
          </reference>
          <reference field="6" count="1">
            <x v="27"/>
          </reference>
        </references>
      </pivotArea>
    </format>
    <format dxfId="237">
      <pivotArea dataOnly="0" fieldPosition="0">
        <references count="1">
          <reference field="6" count="1">
            <x v="20"/>
          </reference>
        </references>
      </pivotArea>
    </format>
    <format dxfId="238">
      <pivotArea collapsedLevelsAreSubtotals="1" fieldPosition="0">
        <references count="2">
          <reference field="1" count="1" selected="0">
            <x v="2"/>
          </reference>
          <reference field="6" count="1">
            <x v="33"/>
          </reference>
        </references>
      </pivotArea>
    </format>
    <format dxfId="239">
      <pivotArea dataOnly="0" labelOnly="1" fieldPosition="0">
        <references count="2">
          <reference field="1" count="1" selected="0">
            <x v="2"/>
          </reference>
          <reference field="6" count="1">
            <x v="33"/>
          </reference>
        </references>
      </pivotArea>
    </format>
    <format dxfId="240">
      <pivotArea collapsedLevelsAreSubtotals="1" fieldPosition="0">
        <references count="2">
          <reference field="1" count="1" selected="0">
            <x v="2"/>
          </reference>
          <reference field="6" count="1">
            <x v="16"/>
          </reference>
        </references>
      </pivotArea>
    </format>
    <format dxfId="241">
      <pivotArea dataOnly="0" labelOnly="1" fieldPosition="0">
        <references count="2">
          <reference field="1" count="1" selected="0">
            <x v="2"/>
          </reference>
          <reference field="6" count="1">
            <x v="16"/>
          </reference>
        </references>
      </pivotArea>
    </format>
  </formats>
  <chartFormats count="2">
    <chartFormat chart="8"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47557E-C3C0-4569-B7D2-F7A5DF459002}" name="YTD Sales" cacheId="58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X3:AY18" firstHeaderRow="1" firstDataRow="1" firstDataCol="1"/>
  <pivotFields count="48">
    <pivotField axis="axisRow" showAll="0">
      <items count="15">
        <item x="0"/>
        <item x="1"/>
        <item x="2"/>
        <item x="3"/>
        <item x="4"/>
        <item x="5"/>
        <item x="6"/>
        <item x="7"/>
        <item x="8"/>
        <item x="9"/>
        <item x="10"/>
        <item x="11"/>
        <item h="1" x="13"/>
        <item h="1" x="12"/>
        <item t="default"/>
      </items>
    </pivotField>
    <pivotField showAll="0">
      <items count="7">
        <item x="1"/>
        <item x="2"/>
        <item x="0"/>
        <item x="3"/>
        <item x="4"/>
        <item x="5"/>
        <item t="default"/>
      </items>
    </pivotField>
    <pivotField showAll="0"/>
    <pivotField showAll="0"/>
    <pivotField showAll="0"/>
    <pivotField showAll="0"/>
    <pivotField showAll="0"/>
    <pivotField axis="axisRow" showAll="0">
      <items count="15">
        <item sd="0" x="11"/>
        <item sd="0" x="6"/>
        <item sd="0" x="8"/>
        <item sd="0" x="9"/>
        <item sd="0" x="2"/>
        <item sd="0" x="7"/>
        <item sd="0" x="4"/>
        <item sd="0" x="0"/>
        <item sd="0" x="5"/>
        <item sd="0" x="1"/>
        <item sd="0" x="10"/>
        <item sd="0" x="3"/>
        <item sd="0" x="13"/>
        <item x="1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items count="46">
        <item x="0"/>
        <item x="6"/>
        <item x="5"/>
        <item x="8"/>
        <item x="4"/>
        <item x="9"/>
        <item x="10"/>
        <item x="15"/>
        <item x="1"/>
        <item x="11"/>
        <item x="18"/>
        <item x="2"/>
        <item x="19"/>
        <item x="14"/>
        <item x="13"/>
        <item x="21"/>
        <item x="12"/>
        <item x="20"/>
        <item x="24"/>
        <item x="3"/>
        <item x="16"/>
        <item x="17"/>
        <item x="26"/>
        <item m="1" x="39"/>
        <item m="1" x="44"/>
        <item m="1" x="43"/>
        <item m="1" x="41"/>
        <item m="1" x="40"/>
        <item m="1" x="38"/>
        <item m="1" x="42"/>
        <item x="7"/>
        <item x="35"/>
        <item m="1" x="36"/>
        <item x="29"/>
        <item x="31"/>
        <item x="22"/>
        <item x="27"/>
        <item x="28"/>
        <item m="1" x="37"/>
        <item x="25"/>
        <item x="23"/>
        <item x="33"/>
        <item x="34"/>
        <item x="30"/>
        <item x="32"/>
        <item t="default"/>
      </items>
    </pivotField>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Row" showAll="0">
      <items count="5">
        <item h="1" x="0"/>
        <item x="1"/>
        <item x="2"/>
        <item h="1"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 dragToRow="0" dragToCol="0" dragToPage="0" showAll="0" defaultSubtotal="0"/>
  </pivotFields>
  <rowFields count="4">
    <field x="41"/>
    <field x="39"/>
    <field x="7"/>
    <field x="0"/>
  </rowFields>
  <rowItems count="15">
    <i>
      <x v="1"/>
    </i>
    <i r="1">
      <x v="12"/>
    </i>
    <i>
      <x v="2"/>
    </i>
    <i r="1">
      <x v="1"/>
    </i>
    <i r="1">
      <x v="2"/>
    </i>
    <i r="1">
      <x v="3"/>
    </i>
    <i r="1">
      <x v="4"/>
    </i>
    <i r="1">
      <x v="5"/>
    </i>
    <i r="1">
      <x v="6"/>
    </i>
    <i r="1">
      <x v="7"/>
    </i>
    <i r="1">
      <x v="8"/>
    </i>
    <i r="1">
      <x v="9"/>
    </i>
    <i r="1">
      <x v="10"/>
    </i>
    <i r="1">
      <x v="11"/>
    </i>
    <i t="grand">
      <x/>
    </i>
  </rowItems>
  <colItems count="1">
    <i/>
  </colItems>
  <dataFields count="1">
    <dataField name="Sum of PO Amount" fld="8" baseField="44" baseItem="0" numFmtId="165"/>
  </dataFields>
  <chartFormats count="2">
    <chartFormat chart="8"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48C4B8-0EE3-426A-9E4F-B4E4E7D5DAD4}" name="PivotTable1" cacheId="58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9" firstHeaderRow="1" firstDataRow="1" firstDataCol="1"/>
  <pivotFields count="42">
    <pivotField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showAll="0"/>
    <pivotField showAll="0"/>
    <pivotField axis="axisRow" showAll="0" sortType="descending">
      <items count="16">
        <item x="11"/>
        <item x="6"/>
        <item x="8"/>
        <item x="9"/>
        <item x="2"/>
        <item x="7"/>
        <item x="4"/>
        <item x="0"/>
        <item x="5"/>
        <item x="1"/>
        <item x="13"/>
        <item x="10"/>
        <item x="12"/>
        <item x="3"/>
        <item x="14"/>
        <item t="default"/>
      </items>
      <autoSortScope>
        <pivotArea dataOnly="0" outline="0" fieldPosition="0">
          <references count="1">
            <reference field="4294967294" count="1" selected="0">
              <x v="0"/>
            </reference>
          </references>
        </pivotArea>
      </autoSortScope>
    </pivotField>
    <pivotField dataField="1" showAll="0">
      <items count="53">
        <item x="38"/>
        <item x="27"/>
        <item x="35"/>
        <item x="5"/>
        <item x="8"/>
        <item x="10"/>
        <item x="21"/>
        <item x="25"/>
        <item x="20"/>
        <item x="18"/>
        <item x="26"/>
        <item x="29"/>
        <item x="23"/>
        <item x="24"/>
        <item x="15"/>
        <item x="3"/>
        <item x="7"/>
        <item x="40"/>
        <item x="32"/>
        <item x="19"/>
        <item x="12"/>
        <item x="51"/>
        <item x="9"/>
        <item x="28"/>
        <item x="41"/>
        <item x="44"/>
        <item x="39"/>
        <item x="22"/>
        <item x="13"/>
        <item x="45"/>
        <item x="16"/>
        <item x="43"/>
        <item x="33"/>
        <item x="48"/>
        <item x="37"/>
        <item x="42"/>
        <item x="50"/>
        <item x="2"/>
        <item x="14"/>
        <item x="36"/>
        <item x="46"/>
        <item x="49"/>
        <item x="47"/>
        <item x="0"/>
        <item x="11"/>
        <item x="30"/>
        <item x="4"/>
        <item x="17"/>
        <item x="34"/>
        <item x="6"/>
        <item x="1"/>
        <item x="3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16">
    <i>
      <x v="4"/>
    </i>
    <i>
      <x v="8"/>
    </i>
    <i>
      <x v="3"/>
    </i>
    <i>
      <x v="13"/>
    </i>
    <i>
      <x v="2"/>
    </i>
    <i>
      <x/>
    </i>
    <i>
      <x v="7"/>
    </i>
    <i>
      <x v="10"/>
    </i>
    <i>
      <x v="12"/>
    </i>
    <i>
      <x v="1"/>
    </i>
    <i>
      <x v="6"/>
    </i>
    <i>
      <x v="5"/>
    </i>
    <i>
      <x v="9"/>
    </i>
    <i>
      <x v="11"/>
    </i>
    <i>
      <x v="14"/>
    </i>
    <i t="grand">
      <x/>
    </i>
  </rowItems>
  <colItems count="1">
    <i/>
  </colItems>
  <dataFields count="1">
    <dataField name="Sum of PO Amount" fld="8" baseField="7" baseItem="0" numFmtId="167"/>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5FFFB9-1FD9-4D91-8A11-AD8B91D86E12}" name="PivotTable1" cacheId="58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E10" firstHeaderRow="0" firstDataRow="1" firstDataCol="1" rowPageCount="5" colPageCount="1"/>
  <pivotFields count="42">
    <pivotField axis="axisPage" showAll="0">
      <items count="17">
        <item x="0"/>
        <item x="1"/>
        <item x="2"/>
        <item x="3"/>
        <item x="4"/>
        <item x="5"/>
        <item x="6"/>
        <item x="7"/>
        <item x="8"/>
        <item x="9"/>
        <item x="10"/>
        <item x="11"/>
        <item x="12"/>
        <item x="13"/>
        <item x="14"/>
        <item x="15"/>
        <item t="default"/>
      </items>
    </pivotField>
    <pivotField axis="axisRow" showAll="0">
      <items count="7">
        <item x="1"/>
        <item x="2"/>
        <item x="0"/>
        <item x="3"/>
        <item x="4"/>
        <item x="5"/>
        <item t="default"/>
      </items>
    </pivotField>
    <pivotField showAll="0"/>
    <pivotField showAll="0"/>
    <pivotField showAll="0"/>
    <pivotField showAll="0"/>
    <pivotField showAll="0"/>
    <pivotField axis="axisPage" multipleItemSelectionAllowed="1" showAll="0">
      <items count="16">
        <item h="1" x="11"/>
        <item h="1" x="6"/>
        <item h="1" x="8"/>
        <item h="1" x="9"/>
        <item x="2"/>
        <item h="1" x="7"/>
        <item h="1" x="4"/>
        <item h="1" x="0"/>
        <item h="1" x="5"/>
        <item h="1" x="1"/>
        <item h="1" x="13"/>
        <item h="1" x="10"/>
        <item h="1" x="12"/>
        <item h="1" x="3"/>
        <item h="1" x="14"/>
        <item t="default"/>
      </items>
    </pivotField>
    <pivotField dataField="1" showAll="0">
      <items count="53">
        <item x="38"/>
        <item x="27"/>
        <item x="35"/>
        <item x="5"/>
        <item x="8"/>
        <item x="10"/>
        <item x="21"/>
        <item x="25"/>
        <item x="20"/>
        <item x="18"/>
        <item x="26"/>
        <item x="29"/>
        <item x="23"/>
        <item x="24"/>
        <item x="15"/>
        <item x="3"/>
        <item x="7"/>
        <item x="40"/>
        <item x="32"/>
        <item x="19"/>
        <item x="12"/>
        <item x="51"/>
        <item x="9"/>
        <item x="28"/>
        <item x="41"/>
        <item x="44"/>
        <item x="39"/>
        <item x="22"/>
        <item x="13"/>
        <item x="45"/>
        <item x="16"/>
        <item x="43"/>
        <item x="33"/>
        <item x="48"/>
        <item x="37"/>
        <item x="42"/>
        <item x="50"/>
        <item x="2"/>
        <item x="14"/>
        <item x="36"/>
        <item x="46"/>
        <item x="49"/>
        <item x="47"/>
        <item x="0"/>
        <item x="11"/>
        <item x="30"/>
        <item x="4"/>
        <item x="17"/>
        <item x="34"/>
        <item x="6"/>
        <item x="1"/>
        <item x="31"/>
        <item t="default"/>
      </items>
    </pivotField>
    <pivotField showAll="0">
      <items count="45">
        <item x="24"/>
        <item x="7"/>
        <item x="6"/>
        <item x="27"/>
        <item x="42"/>
        <item x="31"/>
        <item x="38"/>
        <item x="33"/>
        <item x="36"/>
        <item x="34"/>
        <item x="41"/>
        <item x="11"/>
        <item x="23"/>
        <item x="25"/>
        <item x="28"/>
        <item x="17"/>
        <item x="19"/>
        <item x="0"/>
        <item x="2"/>
        <item x="16"/>
        <item x="30"/>
        <item x="18"/>
        <item x="8"/>
        <item x="29"/>
        <item x="12"/>
        <item x="21"/>
        <item x="15"/>
        <item x="37"/>
        <item x="32"/>
        <item x="4"/>
        <item x="10"/>
        <item x="39"/>
        <item x="13"/>
        <item x="40"/>
        <item x="35"/>
        <item x="22"/>
        <item x="14"/>
        <item x="26"/>
        <item x="20"/>
        <item x="3"/>
        <item x="9"/>
        <item x="5"/>
        <item x="1"/>
        <item x="43"/>
        <item t="default"/>
      </items>
    </pivotField>
    <pivotField showAll="0"/>
    <pivotField showAll="0"/>
    <pivotField dataField="1" showAll="0">
      <items count="40">
        <item x="5"/>
        <item x="9"/>
        <item x="31"/>
        <item x="3"/>
        <item x="29"/>
        <item x="23"/>
        <item x="18"/>
        <item x="24"/>
        <item x="16"/>
        <item x="14"/>
        <item x="21"/>
        <item x="22"/>
        <item x="32"/>
        <item x="20"/>
        <item x="25"/>
        <item x="17"/>
        <item x="27"/>
        <item x="33"/>
        <item x="8"/>
        <item x="7"/>
        <item x="12"/>
        <item x="15"/>
        <item x="19"/>
        <item x="11"/>
        <item x="28"/>
        <item x="13"/>
        <item x="4"/>
        <item x="10"/>
        <item x="30"/>
        <item x="37"/>
        <item x="34"/>
        <item x="0"/>
        <item x="2"/>
        <item x="35"/>
        <item x="36"/>
        <item x="26"/>
        <item x="6"/>
        <item x="1"/>
        <item x="38"/>
        <item t="default"/>
      </items>
    </pivotField>
    <pivotField showAll="0"/>
    <pivotField dataField="1" showAll="0">
      <items count="48">
        <item x="25"/>
        <item x="35"/>
        <item x="32"/>
        <item x="7"/>
        <item x="20"/>
        <item x="26"/>
        <item x="18"/>
        <item x="24"/>
        <item x="28"/>
        <item x="37"/>
        <item x="5"/>
        <item x="10"/>
        <item x="8"/>
        <item x="21"/>
        <item x="12"/>
        <item x="45"/>
        <item x="44"/>
        <item x="6"/>
        <item x="34"/>
        <item x="29"/>
        <item x="39"/>
        <item x="2"/>
        <item x="19"/>
        <item x="15"/>
        <item x="43"/>
        <item x="9"/>
        <item x="23"/>
        <item x="3"/>
        <item x="22"/>
        <item x="13"/>
        <item x="16"/>
        <item x="0"/>
        <item x="30"/>
        <item x="27"/>
        <item x="36"/>
        <item x="14"/>
        <item x="11"/>
        <item x="38"/>
        <item x="41"/>
        <item x="42"/>
        <item x="40"/>
        <item x="4"/>
        <item x="33"/>
        <item x="46"/>
        <item x="31"/>
        <item x="1"/>
        <item x="17"/>
        <item t="default"/>
      </items>
    </pivotField>
    <pivotField dataField="1" showAll="0">
      <items count="40">
        <item x="16"/>
        <item x="7"/>
        <item x="6"/>
        <item x="37"/>
        <item x="2"/>
        <item x="29"/>
        <item x="34"/>
        <item x="30"/>
        <item x="33"/>
        <item x="36"/>
        <item x="11"/>
        <item x="22"/>
        <item x="25"/>
        <item x="23"/>
        <item x="17"/>
        <item x="19"/>
        <item x="27"/>
        <item x="0"/>
        <item x="18"/>
        <item x="31"/>
        <item x="20"/>
        <item x="8"/>
        <item x="10"/>
        <item x="15"/>
        <item x="12"/>
        <item x="13"/>
        <item x="28"/>
        <item x="4"/>
        <item x="14"/>
        <item x="32"/>
        <item x="24"/>
        <item x="3"/>
        <item x="9"/>
        <item x="35"/>
        <item x="21"/>
        <item x="38"/>
        <item x="5"/>
        <item x="26"/>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15">
        <item sd="0" x="0"/>
        <item sd="0" x="1"/>
        <item sd="0" x="2"/>
        <item sd="0" x="3"/>
        <item sd="0" x="4"/>
        <item sd="0" x="5"/>
        <item sd="0" x="6"/>
        <item sd="0" x="7"/>
        <item sd="0" x="8"/>
        <item sd="0" x="9"/>
        <item sd="0" x="10"/>
        <item sd="0" x="11"/>
        <item sd="0" x="12"/>
        <item sd="0" x="13"/>
        <item t="default"/>
      </items>
    </pivotField>
    <pivotField axis="axisPage" showAll="0">
      <items count="7">
        <item sd="0" x="0"/>
        <item sd="0" x="1"/>
        <item sd="0" x="2"/>
        <item sd="0" x="3"/>
        <item sd="0" x="4"/>
        <item sd="0" x="5"/>
        <item t="default"/>
      </items>
    </pivotField>
    <pivotField axis="axisPage" multipleItemSelectionAllowed="1" showAll="0">
      <items count="6">
        <item h="1" sd="0" x="0"/>
        <item h="1" sd="0" x="1"/>
        <item sd="0" x="2"/>
        <item h="1" sd="0" x="3"/>
        <item h="1" sd="0" x="4"/>
        <item t="default"/>
      </items>
    </pivotField>
  </pivotFields>
  <rowFields count="1">
    <field x="1"/>
  </rowFields>
  <rowItems count="3">
    <i>
      <x v="1"/>
    </i>
    <i>
      <x v="2"/>
    </i>
    <i t="grand">
      <x/>
    </i>
  </rowItems>
  <colFields count="1">
    <field x="-2"/>
  </colFields>
  <colItems count="4">
    <i>
      <x/>
    </i>
    <i i="1">
      <x v="1"/>
    </i>
    <i i="2">
      <x v="2"/>
    </i>
    <i i="3">
      <x v="3"/>
    </i>
  </colItems>
  <pageFields count="5">
    <pageField fld="41" hier="-1"/>
    <pageField fld="40" hier="-1"/>
    <pageField fld="0" hier="-1"/>
    <pageField fld="7" hier="-1"/>
    <pageField fld="39" hier="-1"/>
  </pageFields>
  <dataFields count="4">
    <dataField name="Sum of PO Amount" fld="8" baseField="39" baseItem="2" numFmtId="165"/>
    <dataField name="Expense" fld="12" baseField="1" baseItem="1" numFmtId="165"/>
    <dataField name="Sum of Gross Margin" fld="14" baseField="1" baseItem="1" numFmtId="165"/>
    <dataField name="Average of Margen Real" fld="15" subtotal="average" baseField="1" baseItem="1" numFmtId="9"/>
  </dataFields>
  <formats count="4">
    <format dxfId="166">
      <pivotArea outline="0" collapsedLevelsAreSubtotals="1" fieldPosition="0">
        <references count="1">
          <reference field="4294967294" count="1" selected="0">
            <x v="0"/>
          </reference>
        </references>
      </pivotArea>
    </format>
    <format dxfId="167">
      <pivotArea outline="0" collapsedLevelsAreSubtotals="1" fieldPosition="0">
        <references count="1">
          <reference field="4294967294" count="1" selected="0">
            <x v="3"/>
          </reference>
        </references>
      </pivotArea>
    </format>
    <format dxfId="168">
      <pivotArea outline="0" collapsedLevelsAreSubtotals="1" fieldPosition="0">
        <references count="1">
          <reference field="4294967294" count="1" selected="0">
            <x v="1"/>
          </reference>
        </references>
      </pivotArea>
    </format>
    <format dxfId="169">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1" xr10:uid="{AC25C25F-D491-455F-A681-ED8BA5BCA41B}" sourceName="Customer">
  <pivotTables>
    <pivotTable tabId="19" name="Sales per Customer"/>
    <pivotTable tabId="19" name="YTD Sales"/>
    <pivotTable tabId="16" name="Invoicing"/>
    <pivotTable tabId="19" name="Sales per BU"/>
    <pivotTable tabId="19" name="Invoice per Month"/>
    <pivotTable tabId="19" name="Margen Data"/>
  </pivotTables>
  <data>
    <tabular pivotCacheId="1241427156">
      <items count="14">
        <i x="11" s="1"/>
        <i x="6" s="1"/>
        <i x="8" s="1"/>
        <i x="9" s="1"/>
        <i x="2" s="1"/>
        <i x="7" s="1"/>
        <i x="4" s="1"/>
        <i x="0" s="1"/>
        <i x="5" s="1"/>
        <i x="1" s="1"/>
        <i x="10" s="1"/>
        <i x="12" s="1"/>
        <i x="3" s="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in_BU1" xr10:uid="{1BE08395-DD57-475A-A900-6EB6040D9CAA}" sourceName="Main BU">
  <pivotTables>
    <pivotTable tabId="19" name="Sales per BU"/>
    <pivotTable tabId="19" name="Sales per Customer"/>
    <pivotTable tabId="19" name="Invoice per Month"/>
    <pivotTable tabId="16" name="Invoicing"/>
    <pivotTable tabId="19" name="YTD Sales"/>
    <pivotTable tabId="19" name="Margen Data"/>
  </pivotTables>
  <data>
    <tabular pivotCacheId="1241427156">
      <items count="6">
        <i x="1" s="1"/>
        <i x="2" s="1"/>
        <i x="0" s="1"/>
        <i x="3" s="1"/>
        <i x="4" s="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_f_Invoice" xr10:uid="{F85573E7-80A2-4573-A6CD-853B75ED1861}" sourceName="Status f/Invoice">
  <pivotTables>
    <pivotTable tabId="19" name="Invoice per Month"/>
    <pivotTable tabId="16" name="Invoicing"/>
    <pivotTable tabId="19" name="Margen Data"/>
    <pivotTable tabId="19" name="Sales per BU"/>
    <pivotTable tabId="19" name="Sales per Customer"/>
    <pivotTable tabId="19" name="YTD Sales"/>
  </pivotTables>
  <data>
    <tabular pivotCacheId="1241427156">
      <items count="3">
        <i x="0" s="1"/>
        <i x="1" s="1"/>
        <i x="2"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Invoice_Date" xr10:uid="{48F65E75-4150-40BA-8338-B13E87BFEE52}" sourceName="Months (Invoice Date)">
  <pivotTables>
    <pivotTable tabId="16" name="Invoicing"/>
    <pivotTable tabId="19" name="Invoice per Month"/>
    <pivotTable tabId="19" name="Margen Data"/>
    <pivotTable tabId="19" name="Sales per BU"/>
    <pivotTable tabId="19" name="Sales per Customer"/>
    <pivotTable tabId="19" name="YTD Sales"/>
  </pivotTables>
  <data>
    <tabular pivotCacheId="1241427156">
      <items count="14">
        <i x="1" s="1"/>
        <i x="2" s="1"/>
        <i x="3" s="1"/>
        <i x="5" s="1"/>
        <i x="6" s="1"/>
        <i x="7" s="1"/>
        <i x="8" s="1"/>
        <i x="9" s="1"/>
        <i x="10" s="1"/>
        <i x="11" s="1"/>
        <i x="12" s="1"/>
        <i x="4" s="1" nd="1"/>
        <i x="0" s="1" nd="1"/>
        <i x="1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2" xr10:uid="{9363CFFD-592A-4346-AE4A-5CC908386EA8}" sourceName="Customer">
  <extLst>
    <x:ext xmlns:x15="http://schemas.microsoft.com/office/spreadsheetml/2010/11/main" uri="{2F2917AC-EB37-4324-AD4E-5DD8C200BD13}">
      <x15:tableSlicerCache tableId="1" column="8"/>
    </x:ex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416EDCA-D6EE-4F99-8CB1-5340B401310E}" sourceName="Month">
  <extLst>
    <x:ext xmlns:x15="http://schemas.microsoft.com/office/spreadsheetml/2010/11/main" uri="{2F2917AC-EB37-4324-AD4E-5DD8C200BD13}">
      <x15:tableSlicerCache tableId="1" column="1"/>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in_BU" xr10:uid="{59EE9777-60D1-4954-B6F3-624D9C65031C}" sourceName="Main BU">
  <extLst>
    <x:ext xmlns:x15="http://schemas.microsoft.com/office/spreadsheetml/2010/11/main" uri="{2F2917AC-EB37-4324-AD4E-5DD8C200BD13}">
      <x15:tableSlicerCache tableId="1" column="2"/>
    </x:ex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303060BB-FC21-4D87-9DD0-8EA51E9C0EC6}" sourceName="Status">
  <extLst>
    <x:ext xmlns:x15="http://schemas.microsoft.com/office/spreadsheetml/2010/11/main" uri="{2F2917AC-EB37-4324-AD4E-5DD8C200BD13}">
      <x15:tableSlicerCache tableId="1" column="17"/>
    </x:ext>
    <x:ext xmlns:x15="http://schemas.microsoft.com/office/spreadsheetml/2010/11/main" uri="{470722E0-AACD-4C17-9CDC-17EF765DBC7E}">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21" xr10:uid="{EB3BEEC3-B5D0-4CEE-B27D-F47569B873B6}" sourceName="Customer">
  <extLst>
    <x:ext xmlns:x15="http://schemas.microsoft.com/office/spreadsheetml/2010/11/main" uri="{2F2917AC-EB37-4324-AD4E-5DD8C200BD13}">
      <x15:tableSlicerCache tableId="2" column="8"/>
    </x:ext>
    <x:ext xmlns:x15="http://schemas.microsoft.com/office/spreadsheetml/2010/11/main" uri="{470722E0-AACD-4C17-9CDC-17EF765DBC7E}">
      <x15:slicerCacheHideItemsWithNoData/>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4BAEFC03-1897-4923-9791-ACEB722710BA}" sourceName="Month">
  <extLst>
    <x:ext xmlns:x15="http://schemas.microsoft.com/office/spreadsheetml/2010/11/main" uri="{2F2917AC-EB37-4324-AD4E-5DD8C200BD13}">
      <x15:tableSlicerCache tableId="2" column="1"/>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in_BU2" xr10:uid="{DD5F068E-92BE-4E60-8363-5838DED4F42A}" sourceName="Main BU">
  <extLst>
    <x:ext xmlns:x15="http://schemas.microsoft.com/office/spreadsheetml/2010/11/main" uri="{2F2917AC-EB37-4324-AD4E-5DD8C200BD13}">
      <x15:tableSlicerCache tableId="2" column="2"/>
    </x:ext>
    <x:ext xmlns:x15="http://schemas.microsoft.com/office/spreadsheetml/2010/11/main" uri="{470722E0-AACD-4C17-9CDC-17EF765DBC7E}">
      <x15:slicerCacheHideItemsWithNoData/>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1" xr10:uid="{15590738-95DE-4888-96E0-8E8797A5D6D7}" sourceName="Status">
  <extLst>
    <x:ext xmlns:x15="http://schemas.microsoft.com/office/spreadsheetml/2010/11/main" uri="{2F2917AC-EB37-4324-AD4E-5DD8C200BD13}">
      <x15:tableSlicerCache tableId="2" column="17"/>
    </x:ex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2" xr10:uid="{A0967144-F7C7-4530-97F8-9F5E3F1454CA}" cache="Slicer_Customer2" caption="Customer" columnCount="5" style="iBtest" rowHeight="234950"/>
  <slicer name="Month" xr10:uid="{9DAD9264-AEC8-483B-9846-681D33632971}" cache="Slicer_Month" caption="PO Month" columnCount="5" style="iBtest" rowHeight="234950"/>
  <slicer name="Main BU 1" xr10:uid="{60AD6EF1-151A-4B84-A9E2-E95A96BC917F}" cache="Slicer_Main_BU" caption="Main BU" columnCount="2" style="iBtest" rowHeight="234950"/>
  <slicer name="Status" xr10:uid="{60DEE6F9-C671-48F2-B0CA-8D71ADADC5F4}" cache="Slicer_Status" caption="Project Status" columnCount="2" style="iBtes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xr10:uid="{83873D86-2C83-4108-A3AF-F9ACB7145AF3}" cache="Slicer_Customer1" caption="Customer" columnCount="3" style="iBtest" rowHeight="234950"/>
  <slicer name="Main BU" xr10:uid="{516541C1-AE8E-4356-80AE-0C90264FBFDA}" cache="Slicer_Main_BU1" caption="Main BU" columnCount="2" style="iBtest" rowHeight="234950"/>
  <slicer name="Status f/Invoice" xr10:uid="{58B8DCFB-DC6E-4CB7-8E22-3680D4F27793}" cache="Slicer_Status_f_Invoice" caption="Status f/Invoice" style="iBtest" rowHeight="234950"/>
  <slicer name="Months (Invoice Date)" xr10:uid="{6B74A55D-2491-477D-AF3E-2E4D88E10ADF}" cache="Slicer_Months__Invoice_Date" caption="Months (Invoice Date)" startItem="2" style="iBtest"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3" xr10:uid="{17DE8BA3-313C-4D3C-86BA-819C1BF31EFC}" cache="Slicer_Customer21" caption="Customer" columnCount="5" style="iBtest" rowHeight="234950"/>
  <slicer name="Month 1" xr10:uid="{B6CAA52B-77EE-4818-AC04-7AD0E5769336}" cache="Slicer_Month1" caption="PO Month" columnCount="5" style="iBtest" rowHeight="234950"/>
  <slicer name="Main BU 2" xr10:uid="{33DA2CD0-F756-49E0-B561-CBAF7700ECED}" cache="Slicer_Main_BU2" caption="Main BU" columnCount="2" style="iBtest" rowHeight="234950"/>
  <slicer name="Status 1" xr10:uid="{D68E60B4-C48B-4170-9E45-2036F4F8D702}" cache="Slicer_Status1" caption="Project Status" columnCount="2" style="iBtes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4C85EF-8297-4175-BDDD-0065DF23BC46}" name="Table1" displayName="Table1" ref="A3:AR167" totalsRowCount="1" headerRowDxfId="145" tableBorderDxfId="144">
  <autoFilter ref="A3:AR166" xr:uid="{D54C85EF-8297-4175-BDDD-0065DF23BC46}"/>
  <tableColumns count="44">
    <tableColumn id="1" xr3:uid="{820CD80A-5C1F-4CE6-91FF-A6C20B4FA863}" name="Month" dataDxfId="142" totalsRowDxfId="143"/>
    <tableColumn id="2" xr3:uid="{EAE641C1-D97E-48B6-AB57-19A04F94A149}" name="Main BU" dataDxfId="140" totalsRowDxfId="141"/>
    <tableColumn id="3" xr3:uid="{C931A4E7-16D0-4352-9C0E-E6B6C76CE5DC}" name="PO" dataDxfId="138" totalsRowDxfId="139"/>
    <tableColumn id="4" xr3:uid="{D7744B35-A3C5-4FED-9C76-B181DD15CCF3}" name="SAPI" dataDxfId="136" totalsRowDxfId="137"/>
    <tableColumn id="5" xr3:uid="{9962E884-EA95-4D69-878E-19E9C417BAD1}" name="PO a SAPI" dataDxfId="134" totalsRowDxfId="135"/>
    <tableColumn id="6" xr3:uid="{CEAD784D-5920-46BA-B319-C0642BBB12F0}" name="INVOICE_x000a_SAPI" dataDxfId="132" totalsRowDxfId="133"/>
    <tableColumn id="7" xr3:uid="{BE106661-CB33-44EF-B57D-1E64DC7AF6BF}" name="Project" dataDxfId="130" totalsRowDxfId="131"/>
    <tableColumn id="8" xr3:uid="{7FB1E78C-ED68-4DA7-8676-F160CF8ACEF9}" name="Customer" dataDxfId="128" totalsRowDxfId="129"/>
    <tableColumn id="41" xr3:uid="{444CA44B-9A74-4DE9-9724-30930E8F8915}" name="Location" dataDxfId="126" totalsRowDxfId="127"/>
    <tableColumn id="42" xr3:uid="{207DF5B1-C834-4ADD-9518-E77BD67F54A8}" name="Sales Team" dataDxfId="124" totalsRowDxfId="125"/>
    <tableColumn id="43" xr3:uid="{A50BCC5B-C74F-4000-A834-8D5C5F0E6E41}" name="PM" dataDxfId="122" totalsRowDxfId="123"/>
    <tableColumn id="9" xr3:uid="{0761A464-27E9-4238-88C9-BC552D0C292C}" name="PO Amount" dataDxfId="120" totalsRowDxfId="121"/>
    <tableColumn id="10" xr3:uid="{150573A7-051B-419C-BEFE-E010FC9CEC37}" name="Theorical Margen" dataDxfId="118" totalsRowDxfId="119"/>
    <tableColumn id="11" xr3:uid="{B5EC395E-E6B7-4409-B84F-192AF8C0C236}" name="Quoted Rev" dataDxfId="116" totalsRowDxfId="117"/>
    <tableColumn id="12" xr3:uid="{875A3F87-B4EC-40A2-A332-7E2ECA6E8B87}" name="Quoted Cost" dataDxfId="114" totalsRowDxfId="115"/>
    <tableColumn id="13" xr3:uid="{EBBFE50A-71CF-4D20-8E4E-A15DBE26B561}" name="Total_x000a_Expense" dataDxfId="112" totalsRowDxfId="113"/>
    <tableColumn id="14" xr3:uid="{BDDD0018-4464-45A8-ACEB-C40FF8E20746}" name="Overall" dataDxfId="110" totalsRowDxfId="111"/>
    <tableColumn id="15" xr3:uid="{314B5161-5794-4EFD-A9E7-1195D2F28EB8}" name="PROFIT" dataDxfId="108" totalsRowDxfId="109"/>
    <tableColumn id="16" xr3:uid="{8D957E50-2888-474E-B76C-83CD6EE8F44C}" name="Margen Real" dataDxfId="106" totalsRowDxfId="107"/>
    <tableColumn id="17" xr3:uid="{03586910-1D4D-407E-985E-1509FC85CBF3}" name="Status" dataDxfId="104" totalsRowDxfId="105"/>
    <tableColumn id="18" xr3:uid="{606EC73A-1ED5-42E4-9F25-94BFBB8E6CC5}" name="Quoted Materials" dataDxfId="102" totalsRowDxfId="103">
      <calculatedColumnFormula>(Table1[[#This Row],[Invoice Date]]-Table1[[#This Row],[Month]])/7</calculatedColumnFormula>
    </tableColumn>
    <tableColumn id="19" xr3:uid="{5912FE3E-8EFC-4522-8F25-73E9E1D3FE5F}" name="Expensed Materials" dataDxfId="100" totalsRowDxfId="101"/>
    <tableColumn id="20" xr3:uid="{C8AF5147-517A-4447-8F3A-197887B574B3}" name="% Materials" dataDxfId="98" totalsRowDxfId="99">
      <calculatedColumnFormula>T4+V4</calculatedColumnFormula>
    </tableColumn>
    <tableColumn id="21" xr3:uid="{3EF1C43A-8C5E-4C7A-930C-3ADEF44705B4}" name="Quoted_x000a_Logistic" dataDxfId="96" totalsRowDxfId="97"/>
    <tableColumn id="22" xr3:uid="{AF5CB4E6-7317-4354-AF4F-5111269EFD80}" name="Expensed Logistic" dataDxfId="94" totalsRowDxfId="95"/>
    <tableColumn id="23" xr3:uid="{B0E44EAE-8E38-4DA9-80DE-AA6111A6BA33}" name="%Logs" dataDxfId="92" totalsRowDxfId="93"/>
    <tableColumn id="27" xr3:uid="{053C9518-AEB0-4B4F-94D6-CB7F76DB8C7F}" name="Quoted Travel" dataDxfId="90" totalsRowDxfId="91"/>
    <tableColumn id="28" xr3:uid="{308301EC-6661-4692-84F6-BF81DF280FB3}" name="Expensed Travel" dataDxfId="88" totalsRowDxfId="89"/>
    <tableColumn id="29" xr3:uid="{D2594DE6-3816-4928-AE8A-8FE47FF73FB7}" name="% Travel" dataDxfId="86" totalsRowDxfId="87"/>
    <tableColumn id="30" xr3:uid="{3A325C6F-ED13-4811-A6B2-1F51D998C427}" name="Labor Quoted" dataDxfId="84" totalsRowDxfId="85"/>
    <tableColumn id="31" xr3:uid="{1BE877A9-42A3-4503-A0C5-ED2922CBC9A6}" name="Expense Quoted" dataDxfId="82" totalsRowDxfId="83"/>
    <tableColumn id="32" xr3:uid="{C9B1CCB2-9C30-4122-A72C-25586F9BA01D}" name="% Labor" dataDxfId="80" totalsRowDxfId="81"/>
    <tableColumn id="24" xr3:uid="{3AD78CD6-3383-4290-9ABC-48FD3D338F53}" name="Payment" dataDxfId="78" totalsRowDxfId="79"/>
    <tableColumn id="25" xr3:uid="{726B8AED-C4E4-4537-AB29-F14360D41209}" name="Percentage" dataDxfId="76" totalsRowDxfId="77"/>
    <tableColumn id="26" xr3:uid="{39E7F9A8-78C4-4D20-BAED-79CF1EECD7D0}" name="Invoice" dataDxfId="74" totalsRowDxfId="75"/>
    <tableColumn id="33" xr3:uid="{C363D6B9-456A-4A75-BD72-79C8AEBA1E08}" name="Status f/Invoice" dataDxfId="72" totalsRowDxfId="73"/>
    <tableColumn id="34" xr3:uid="{51EC001F-1863-460D-AF69-92A94B4A4084}" name="Invoice Amount" dataDxfId="70" totalsRowDxfId="71"/>
    <tableColumn id="35" xr3:uid="{20E32935-514C-40C4-8840-35D05E02AAA6}" name="Invoice Date" dataDxfId="68" totalsRowDxfId="69"/>
    <tableColumn id="40" xr3:uid="{71A6ADF3-D613-4A5A-B125-F2CD30E45C52}" name="Execution Time (Weeks)" dataDxfId="66" totalsRowDxfId="67">
      <calculatedColumnFormula>+Table1[[#This Row],[Invoice Date]]-Table1[[#This Row],[Month]]</calculatedColumnFormula>
    </tableColumn>
    <tableColumn id="36" xr3:uid="{8876051D-3FA1-4402-B261-A51D1680C699}" name="Payment Terms" dataDxfId="64" totalsRowDxfId="65"/>
    <tableColumn id="37" xr3:uid="{FFE2CCEE-5535-4CBA-B4C1-504EB4D4347C}" name="Payment Date" dataDxfId="62" totalsRowDxfId="63"/>
    <tableColumn id="38" xr3:uid="{81A0A3B2-6459-4FB5-BC5B-79A66DF5162F}" name="Payment Status" dataDxfId="60" totalsRowDxfId="61"/>
    <tableColumn id="39" xr3:uid="{EE4E46BD-BCB0-4618-B500-C65F6B74C791}" name="Status for payment" dataDxfId="58" totalsRowDxfId="59"/>
    <tableColumn id="44" xr3:uid="{E01195DA-DE6D-4732-A049-9BB878F80DA3}" name="Estimated Invoice Date" dataDxfId="56" totalsRowDxfId="5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A6A464-5BA1-4A36-A61A-1280D43C473D}" name="Table13" displayName="Table13" ref="A3:AQ231" totalsRowShown="0" headerRowDxfId="44" tableBorderDxfId="43">
  <autoFilter ref="A3:AQ231" xr:uid="{D54C85EF-8297-4175-BDDD-0065DF23BC46}">
    <filterColumn colId="35">
      <filters blank="1">
        <filter val="Invoiced"/>
        <filter val="Pending"/>
      </filters>
    </filterColumn>
    <filterColumn colId="37">
      <filters blank="1">
        <dateGroupItem year="2024" dateTimeGrouping="year"/>
      </filters>
    </filterColumn>
  </autoFilter>
  <tableColumns count="43">
    <tableColumn id="1" xr3:uid="{A82985A3-020C-4B4B-84C7-1C3CD93366D6}" name="Month" dataDxfId="42"/>
    <tableColumn id="2" xr3:uid="{EF2B3EB9-9F37-44D5-AB80-BC58BDB38482}" name="Main BU" dataDxfId="41"/>
    <tableColumn id="3" xr3:uid="{77BF22FF-D8A0-424B-A094-59882FB7308F}" name="PO" dataDxfId="40"/>
    <tableColumn id="4" xr3:uid="{10F4A5AB-4169-440F-BFDA-93272C0F6F5C}" name="SAPI" dataDxfId="39"/>
    <tableColumn id="5" xr3:uid="{C9C09877-6D8C-4B07-BC32-AD9AA48E23C3}" name="PO a SAPI" dataDxfId="38"/>
    <tableColumn id="6" xr3:uid="{BBBA803C-192C-4058-B765-4FD6B9B98310}" name="INVOICE_x000a_SAPI" dataDxfId="37"/>
    <tableColumn id="7" xr3:uid="{98874723-2E94-4BF8-81EF-086CF61D2811}" name="Project" dataDxfId="36"/>
    <tableColumn id="8" xr3:uid="{D941FAA8-2616-4798-B8AB-AEBC10AA58BD}" name="Customer" dataDxfId="35"/>
    <tableColumn id="41" xr3:uid="{59A7E4CD-2980-420A-A906-25979D1DE9FE}" name="Location" dataDxfId="34"/>
    <tableColumn id="42" xr3:uid="{4D396AF8-C2ED-4F55-8B64-58D98B0DD1CD}" name="Sales Team" dataDxfId="33"/>
    <tableColumn id="43" xr3:uid="{FA195D25-6AFF-4972-9F71-7FCB976E860B}" name="PM" dataDxfId="32"/>
    <tableColumn id="9" xr3:uid="{6ABE92EC-4038-4DCA-B1D9-DCE21EF7F289}" name="PO Amount" dataDxfId="31"/>
    <tableColumn id="10" xr3:uid="{D4E505F6-2C0C-469C-A3EB-01975CF4972E}" name="Theorical Margen" dataDxfId="30"/>
    <tableColumn id="11" xr3:uid="{33D1F72B-6459-469A-8BAB-BAFB15E87B35}" name="Quoted Rev" dataDxfId="29"/>
    <tableColumn id="12" xr3:uid="{883BE248-468B-497F-B9A6-B5AC4AD3131F}" name="Quoted Cost" dataDxfId="28"/>
    <tableColumn id="13" xr3:uid="{6B44720A-11D0-4FE4-9342-91C63BB8CBF3}" name="Total_x000a_Expense" dataDxfId="27"/>
    <tableColumn id="14" xr3:uid="{3FA92F49-3A08-4EA7-B3B7-31913B9348C6}" name="Overall" dataDxfId="26"/>
    <tableColumn id="15" xr3:uid="{C41F5008-4C48-4AB1-8473-7E8466D48AEC}" name="PROFIT" dataDxfId="25"/>
    <tableColumn id="16" xr3:uid="{58BEC61F-18E7-4F3C-A74A-0444C3CC0B07}" name="Margen Real" dataDxfId="24"/>
    <tableColumn id="17" xr3:uid="{7D3D13E7-DC82-4EB1-9BDF-578F34C2A649}" name="Status" dataDxfId="23"/>
    <tableColumn id="18" xr3:uid="{EB1FC40A-47BF-42C8-BB0C-708B499CA3EA}" name="Quoted Materials" dataDxfId="22"/>
    <tableColumn id="19" xr3:uid="{F5F6C8FD-C1E0-4920-8536-9FA6281490A3}" name="Expensed Materials" dataDxfId="21"/>
    <tableColumn id="20" xr3:uid="{27877BCA-142A-4DD9-8513-1A880CBA5B14}" name="% Materials" dataDxfId="20"/>
    <tableColumn id="21" xr3:uid="{9720815A-DE1B-45D0-8C4E-EA38D22D0EFD}" name="Quoted_x000a_Logistic" dataDxfId="19"/>
    <tableColumn id="22" xr3:uid="{E5F2A5D2-6587-47B6-8B33-861EBDF1C6FA}" name="Expensed Logistic" dataDxfId="18"/>
    <tableColumn id="23" xr3:uid="{E188BF03-6524-41E0-B38E-79C81B5CD2E5}" name="%Logs" dataDxfId="17"/>
    <tableColumn id="27" xr3:uid="{14FC9199-ECCD-4208-A7BD-A3F12F546094}" name="Quoted Travel" dataDxfId="16"/>
    <tableColumn id="28" xr3:uid="{5E06266A-6E3A-4C25-8C7F-DC111E58CCB3}" name="Expensed Travel" dataDxfId="15"/>
    <tableColumn id="29" xr3:uid="{D9F14460-DBAD-422A-B246-6D3F4733C19D}" name="% Travel" dataDxfId="14"/>
    <tableColumn id="30" xr3:uid="{AEC5EA75-4C91-484E-ABEC-F6A9F1E28629}" name="Labor Quoted" dataDxfId="13"/>
    <tableColumn id="31" xr3:uid="{1985DDBD-F389-499F-B037-57CDFE40B4ED}" name="Expense Quoted" dataDxfId="12"/>
    <tableColumn id="32" xr3:uid="{FC68401E-B489-4560-A98E-1382440CBE86}" name="% Labor" dataDxfId="11"/>
    <tableColumn id="24" xr3:uid="{B6BBC981-A571-4E6F-A861-8D59846997E7}" name="Payment" dataDxfId="10"/>
    <tableColumn id="25" xr3:uid="{198C31AF-17EB-473E-9005-324B39EFEA74}" name="Percentage" dataDxfId="9"/>
    <tableColumn id="26" xr3:uid="{9C96B700-43DE-4F3B-B3D1-1E84A18CF47E}" name="Invoice" dataDxfId="8"/>
    <tableColumn id="33" xr3:uid="{693CE43A-0F56-437C-BD87-24E8BE3E595A}" name="Status f/Invoice" dataDxfId="7"/>
    <tableColumn id="34" xr3:uid="{07BEBAAA-E51F-4B5D-B616-FE5B5468B260}" name="Invoice Amount" dataDxfId="6"/>
    <tableColumn id="35" xr3:uid="{8D90C222-13E3-4A71-9B7F-72CE92824971}" name="Invoice Date" dataDxfId="5"/>
    <tableColumn id="40" xr3:uid="{089BABAA-E5F7-46D8-A61A-730B1062B153}" name="Execution Time (Weeks)" dataDxfId="4">
      <calculatedColumnFormula>+Table13[[#This Row],[Invoice Date]]-Table13[[#This Row],[Month]]</calculatedColumnFormula>
    </tableColumn>
    <tableColumn id="36" xr3:uid="{2ADA89E7-7751-428D-BE87-75E5BED3C5D8}" name="Payment Terms" dataDxfId="3"/>
    <tableColumn id="37" xr3:uid="{AEA6BBE4-6514-4335-8FB0-EF74A894516A}" name="Payment Date" dataDxfId="2"/>
    <tableColumn id="38" xr3:uid="{8E52C703-A546-4CD3-A3E2-6DB2350EC6FC}" name="Payment Status" dataDxfId="1"/>
    <tableColumn id="39" xr3:uid="{18D48858-EC71-4FBF-9372-1C5CB096C5E9}" name="Status for payment" dataDxfId="0"/>
  </tableColumns>
  <tableStyleInfo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N1" dT="2023-07-08T00:03:02.64" personId="{7EA90EE7-1C5B-468B-9DF6-DAA99FFE1EA1}" id="{9AC76884-0F21-47C6-B865-B95000B79DBB}">
    <text>Revenue de la cotización:
MK+NRE+Labor</text>
  </threadedComment>
  <threadedComment ref="O1" dT="2023-07-08T00:03:26.23" personId="{7EA90EE7-1C5B-468B-9DF6-DAA99FFE1EA1}" id="{7FF7CD15-9283-4251-80E9-E7C104559DA3}">
    <text xml:space="preserve">Costo de cotización:
Logísticos
Materiales
Envío
Exportación
</text>
  </threadedComment>
  <threadedComment ref="Q1" dT="2023-07-07T23:58:08.78" personId="{7EA90EE7-1C5B-468B-9DF6-DAA99FFE1EA1}" id="{16404B6F-7588-445C-84F8-8878F5904AD9}">
    <text>Evaluación Cost vs Gasto</text>
  </threadedComment>
</ThreadedComments>
</file>

<file path=xl/threadedComments/threadedComment2.xml><?xml version="1.0" encoding="utf-8"?>
<ThreadedComments xmlns="http://schemas.microsoft.com/office/spreadsheetml/2018/threadedcomments" xmlns:x="http://schemas.openxmlformats.org/spreadsheetml/2006/main">
  <threadedComment ref="N3" dT="2023-07-08T00:03:02.64" personId="{7EA90EE7-1C5B-468B-9DF6-DAA99FFE1EA1}" id="{96D0440D-7355-4F5A-8FD3-CBD1D1370810}">
    <text>Revenue de la cotización:
MK+NRE+Labor</text>
  </threadedComment>
  <threadedComment ref="O3" dT="2023-07-08T00:03:26.23" personId="{7EA90EE7-1C5B-468B-9DF6-DAA99FFE1EA1}" id="{B1695A00-C317-451C-BE15-44C32132FA6E}">
    <text xml:space="preserve">Costo de cotización:
Logísticos
Materiales
Envío
Exportación
</text>
  </threadedComment>
  <threadedComment ref="Q3" dT="2023-07-07T23:58:08.78" personId="{7EA90EE7-1C5B-468B-9DF6-DAA99FFE1EA1}" id="{7CA23A35-A00B-44DD-BC34-D8AD30C78F97}">
    <text>Evaluación Cost vs Gasto</text>
  </threadedComment>
</ThreadedComments>
</file>

<file path=xl/threadedComments/threadedComment3.xml><?xml version="1.0" encoding="utf-8"?>
<ThreadedComments xmlns="http://schemas.microsoft.com/office/spreadsheetml/2018/threadedcomments" xmlns:x="http://schemas.openxmlformats.org/spreadsheetml/2006/main">
  <threadedComment ref="N3" dT="2023-07-08T00:03:02.64" personId="{7EA90EE7-1C5B-468B-9DF6-DAA99FFE1EA1}" id="{0D3935C9-48AD-43F6-A053-D6C93F72D968}">
    <text>Revenue de la cotización:
MK+NRE+Labor</text>
  </threadedComment>
  <threadedComment ref="O3" dT="2023-07-08T00:03:26.23" personId="{7EA90EE7-1C5B-468B-9DF6-DAA99FFE1EA1}" id="{F7770CD4-E805-4DB9-AC7E-15762CD6FB6F}">
    <text xml:space="preserve">Costo de cotización:
Logísticos
Materiales
Envío
Exportación
</text>
  </threadedComment>
  <threadedComment ref="Q3" dT="2023-07-07T23:58:08.78" personId="{7EA90EE7-1C5B-468B-9DF6-DAA99FFE1EA1}" id="{15F999DF-9E03-435C-A2F7-501979964396}">
    <text>Evaluación Cost vs Gasto</text>
  </threadedComment>
  <threadedComment ref="AE17" dT="2023-07-17T17:26:16.30" personId="{7EA90EE7-1C5B-468B-9DF6-DAA99FFE1EA1}" id="{FBBD0086-CD2D-493F-A37C-BEE41C33EEAC}">
    <text>6 4eyes Alejandro Silva
Sin datos de diseño Omar Soto</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7" Type="http://schemas.microsoft.com/office/2017/10/relationships/threadedComment" Target="../threadedComments/threadedComment2.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2.xml"/><Relationship Id="rId5" Type="http://schemas.microsoft.com/office/2007/relationships/slicer" Target="../slicers/slicer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7" Type="http://schemas.microsoft.com/office/2017/10/relationships/threadedComment" Target="../threadedComments/threadedComment3.xml"/><Relationship Id="rId2" Type="http://schemas.openxmlformats.org/officeDocument/2006/relationships/drawing" Target="../drawings/drawing3.xml"/><Relationship Id="rId1" Type="http://schemas.openxmlformats.org/officeDocument/2006/relationships/printerSettings" Target="../printerSettings/printerSettings5.bin"/><Relationship Id="rId6" Type="http://schemas.openxmlformats.org/officeDocument/2006/relationships/comments" Target="../comments3.xml"/><Relationship Id="rId5" Type="http://schemas.microsoft.com/office/2007/relationships/slicer" Target="../slicers/slicer3.xml"/><Relationship Id="rId4"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E7CC1-FAA5-4905-AB27-13C9F4C3B059}">
  <dimension ref="A1:AR10"/>
  <sheetViews>
    <sheetView workbookViewId="0">
      <selection activeCell="L14" sqref="L14"/>
    </sheetView>
  </sheetViews>
  <sheetFormatPr defaultColWidth="9.140625" defaultRowHeight="15"/>
  <cols>
    <col min="1" max="1" width="7.42578125" bestFit="1" customWidth="1"/>
    <col min="2" max="2" width="8.5703125" bestFit="1" customWidth="1"/>
    <col min="3" max="3" width="14.140625" customWidth="1"/>
    <col min="4" max="6" width="0" hidden="1" customWidth="1"/>
    <col min="7" max="7" width="27.28515625" bestFit="1" customWidth="1"/>
    <col min="12" max="12" width="15.140625" customWidth="1"/>
    <col min="13" max="13" width="15" hidden="1" customWidth="1"/>
    <col min="14" max="14" width="12.85546875" hidden="1" customWidth="1"/>
    <col min="15" max="15" width="13" hidden="1" customWidth="1"/>
    <col min="16" max="32" width="0" hidden="1" customWidth="1"/>
    <col min="35" max="35" width="0" hidden="1" customWidth="1"/>
    <col min="37" max="38" width="16.28515625" customWidth="1"/>
    <col min="40" max="40" width="0" hidden="1" customWidth="1"/>
    <col min="41" max="41" width="16.7109375" hidden="1" customWidth="1"/>
  </cols>
  <sheetData>
    <row r="1" spans="1:44" s="1" customFormat="1" ht="38.25">
      <c r="A1" s="83" t="s">
        <v>0</v>
      </c>
      <c r="B1" s="84" t="s">
        <v>1</v>
      </c>
      <c r="C1" s="84" t="s">
        <v>2</v>
      </c>
      <c r="D1" s="84" t="s">
        <v>3</v>
      </c>
      <c r="E1" s="84" t="s">
        <v>4</v>
      </c>
      <c r="F1" s="84" t="s">
        <v>5</v>
      </c>
      <c r="G1" s="85" t="s">
        <v>6</v>
      </c>
      <c r="H1" s="84" t="s">
        <v>7</v>
      </c>
      <c r="I1" s="84" t="s">
        <v>8</v>
      </c>
      <c r="J1" s="84" t="s">
        <v>9</v>
      </c>
      <c r="K1" s="84" t="s">
        <v>10</v>
      </c>
      <c r="L1" s="86" t="s">
        <v>11</v>
      </c>
      <c r="M1" s="86" t="s">
        <v>12</v>
      </c>
      <c r="N1" s="86" t="s">
        <v>13</v>
      </c>
      <c r="O1" s="87" t="s">
        <v>14</v>
      </c>
      <c r="P1" s="86" t="s">
        <v>15</v>
      </c>
      <c r="Q1" s="88" t="s">
        <v>16</v>
      </c>
      <c r="R1" s="88" t="s">
        <v>17</v>
      </c>
      <c r="S1" s="88" t="s">
        <v>18</v>
      </c>
      <c r="T1" s="88" t="s">
        <v>19</v>
      </c>
      <c r="U1" s="89" t="s">
        <v>20</v>
      </c>
      <c r="V1" s="90" t="s">
        <v>21</v>
      </c>
      <c r="W1" s="141" t="s">
        <v>22</v>
      </c>
      <c r="X1" s="89" t="s">
        <v>23</v>
      </c>
      <c r="Y1" s="90" t="s">
        <v>24</v>
      </c>
      <c r="Z1" s="91" t="s">
        <v>25</v>
      </c>
      <c r="AA1" s="90" t="s">
        <v>26</v>
      </c>
      <c r="AB1" s="90" t="s">
        <v>27</v>
      </c>
      <c r="AC1" s="91" t="s">
        <v>28</v>
      </c>
      <c r="AD1" s="92" t="s">
        <v>29</v>
      </c>
      <c r="AE1" s="92" t="s">
        <v>30</v>
      </c>
      <c r="AF1" s="91" t="s">
        <v>31</v>
      </c>
      <c r="AG1" s="84" t="s">
        <v>32</v>
      </c>
      <c r="AH1" s="224" t="s">
        <v>33</v>
      </c>
      <c r="AI1" s="214" t="s">
        <v>34</v>
      </c>
      <c r="AJ1" s="84" t="s">
        <v>35</v>
      </c>
      <c r="AK1" s="86" t="s">
        <v>36</v>
      </c>
      <c r="AL1" s="233" t="s">
        <v>37</v>
      </c>
      <c r="AM1" s="218" t="s">
        <v>38</v>
      </c>
      <c r="AN1" s="84" t="s">
        <v>39</v>
      </c>
      <c r="AO1" s="233" t="s">
        <v>40</v>
      </c>
      <c r="AP1" s="84" t="s">
        <v>41</v>
      </c>
      <c r="AQ1" s="88" t="s">
        <v>42</v>
      </c>
      <c r="AR1" s="88" t="s">
        <v>43</v>
      </c>
    </row>
    <row r="2" spans="1:44" s="1" customFormat="1" ht="25.5">
      <c r="A2" s="173">
        <v>45757</v>
      </c>
      <c r="B2" s="174" t="s">
        <v>44</v>
      </c>
      <c r="C2" s="175" t="s">
        <v>45</v>
      </c>
      <c r="D2" s="174"/>
      <c r="E2" s="174"/>
      <c r="F2" s="174"/>
      <c r="G2" s="176" t="s">
        <v>46</v>
      </c>
      <c r="H2" s="177" t="s">
        <v>47</v>
      </c>
      <c r="I2" s="177" t="s">
        <v>48</v>
      </c>
      <c r="J2" s="177" t="s">
        <v>49</v>
      </c>
      <c r="K2" s="177" t="s">
        <v>50</v>
      </c>
      <c r="L2" s="178">
        <v>27311.23</v>
      </c>
      <c r="M2" s="179">
        <v>0.38877194472749854</v>
      </c>
      <c r="N2" s="178">
        <v>10617.84</v>
      </c>
      <c r="O2" s="178">
        <v>16693.39</v>
      </c>
      <c r="P2" s="178">
        <v>0</v>
      </c>
      <c r="Q2" s="178" t="s">
        <v>51</v>
      </c>
      <c r="R2" s="178"/>
      <c r="S2" s="178"/>
      <c r="T2" s="178"/>
      <c r="U2" s="178">
        <v>22.571428571428573</v>
      </c>
      <c r="V2" s="178"/>
      <c r="W2" s="178">
        <v>0</v>
      </c>
      <c r="X2" s="178"/>
      <c r="Y2" s="178"/>
      <c r="Z2" s="178"/>
      <c r="AA2" s="178"/>
      <c r="AB2" s="178"/>
      <c r="AC2" s="178"/>
      <c r="AD2" s="193"/>
      <c r="AE2" s="193"/>
      <c r="AF2" s="178"/>
      <c r="AG2" s="178" t="s">
        <v>52</v>
      </c>
      <c r="AH2" s="179">
        <v>1</v>
      </c>
      <c r="AI2" s="193"/>
      <c r="AJ2" s="178" t="s">
        <v>53</v>
      </c>
      <c r="AK2" s="178">
        <v>27311.23</v>
      </c>
      <c r="AL2" s="244">
        <v>45915</v>
      </c>
      <c r="AM2" s="215">
        <v>22.571428571428573</v>
      </c>
      <c r="AN2" s="229">
        <v>30</v>
      </c>
      <c r="AO2" s="263">
        <v>45945</v>
      </c>
      <c r="AP2" s="178" t="s">
        <v>53</v>
      </c>
      <c r="AQ2" s="201" t="s">
        <v>51</v>
      </c>
      <c r="AR2" s="220">
        <v>45884</v>
      </c>
    </row>
    <row r="3" spans="1:44" s="1" customFormat="1" ht="25.5">
      <c r="A3" s="173">
        <v>45785</v>
      </c>
      <c r="B3" s="174" t="s">
        <v>44</v>
      </c>
      <c r="C3" s="175" t="s">
        <v>54</v>
      </c>
      <c r="D3" s="174"/>
      <c r="E3" s="174"/>
      <c r="F3" s="174"/>
      <c r="G3" s="176" t="s">
        <v>55</v>
      </c>
      <c r="H3" s="177" t="s">
        <v>47</v>
      </c>
      <c r="I3" s="177" t="s">
        <v>56</v>
      </c>
      <c r="J3" s="177" t="s">
        <v>49</v>
      </c>
      <c r="K3" s="177" t="s">
        <v>50</v>
      </c>
      <c r="L3" s="178">
        <v>13326.36</v>
      </c>
      <c r="M3" s="179">
        <v>0.46550445883196906</v>
      </c>
      <c r="N3" s="178">
        <v>6203.48</v>
      </c>
      <c r="O3" s="178">
        <v>7122.880000000001</v>
      </c>
      <c r="P3" s="178">
        <v>0</v>
      </c>
      <c r="Q3" s="178" t="s">
        <v>51</v>
      </c>
      <c r="R3" s="178"/>
      <c r="S3" s="178"/>
      <c r="T3" s="178"/>
      <c r="U3" s="178">
        <v>20.285714285714285</v>
      </c>
      <c r="V3" s="178"/>
      <c r="W3" s="178">
        <v>0</v>
      </c>
      <c r="X3" s="178"/>
      <c r="Y3" s="178"/>
      <c r="Z3" s="178"/>
      <c r="AA3" s="178"/>
      <c r="AB3" s="178"/>
      <c r="AC3" s="178"/>
      <c r="AD3" s="193"/>
      <c r="AE3" s="193"/>
      <c r="AF3" s="178"/>
      <c r="AG3" s="178" t="s">
        <v>52</v>
      </c>
      <c r="AH3" s="179">
        <v>1</v>
      </c>
      <c r="AI3" s="193"/>
      <c r="AJ3" s="178" t="s">
        <v>53</v>
      </c>
      <c r="AK3" s="178">
        <v>13326.36</v>
      </c>
      <c r="AL3" s="244">
        <v>45927</v>
      </c>
      <c r="AM3" s="215">
        <v>20.285714285714285</v>
      </c>
      <c r="AN3" s="229">
        <v>30</v>
      </c>
      <c r="AO3" s="263">
        <v>45957</v>
      </c>
      <c r="AP3" s="178" t="s">
        <v>53</v>
      </c>
      <c r="AQ3" s="201" t="s">
        <v>51</v>
      </c>
      <c r="AR3" s="220">
        <v>45896</v>
      </c>
    </row>
    <row r="4" spans="1:44" s="1" customFormat="1" ht="25.5">
      <c r="A4" s="173">
        <v>45775</v>
      </c>
      <c r="B4" s="174" t="s">
        <v>57</v>
      </c>
      <c r="C4" s="175" t="s">
        <v>58</v>
      </c>
      <c r="D4" s="174"/>
      <c r="E4" s="174"/>
      <c r="F4" s="174"/>
      <c r="G4" s="176" t="s">
        <v>59</v>
      </c>
      <c r="H4" s="177" t="s">
        <v>60</v>
      </c>
      <c r="I4" s="177" t="s">
        <v>61</v>
      </c>
      <c r="J4" s="177" t="s">
        <v>3</v>
      </c>
      <c r="K4" s="177" t="s">
        <v>50</v>
      </c>
      <c r="L4" s="178">
        <v>26219.64</v>
      </c>
      <c r="M4" s="242">
        <v>0.18720000000000001</v>
      </c>
      <c r="N4" s="178">
        <v>4908.3166080000001</v>
      </c>
      <c r="O4" s="178">
        <v>21311.323391999998</v>
      </c>
      <c r="P4" s="178">
        <v>0</v>
      </c>
      <c r="Q4" s="178" t="s">
        <v>51</v>
      </c>
      <c r="R4" s="178"/>
      <c r="S4" s="178"/>
      <c r="T4" s="178"/>
      <c r="U4" s="178">
        <v>20.714285714285715</v>
      </c>
      <c r="V4" s="178"/>
      <c r="W4" s="178">
        <v>0</v>
      </c>
      <c r="X4" s="178"/>
      <c r="Y4" s="178"/>
      <c r="Z4" s="178"/>
      <c r="AA4" s="178"/>
      <c r="AB4" s="178"/>
      <c r="AC4" s="178"/>
      <c r="AD4" s="193"/>
      <c r="AE4" s="193"/>
      <c r="AF4" s="178"/>
      <c r="AG4" s="178" t="s">
        <v>62</v>
      </c>
      <c r="AH4" s="179">
        <v>0.3</v>
      </c>
      <c r="AI4" s="193"/>
      <c r="AJ4" s="178" t="s">
        <v>53</v>
      </c>
      <c r="AK4" s="178">
        <v>26219.64</v>
      </c>
      <c r="AL4" s="244">
        <v>45920</v>
      </c>
      <c r="AM4" s="215">
        <v>20.714285714285715</v>
      </c>
      <c r="AN4" s="229">
        <v>30</v>
      </c>
      <c r="AO4" s="263">
        <v>45950</v>
      </c>
      <c r="AP4" s="178" t="s">
        <v>53</v>
      </c>
      <c r="AQ4" s="178" t="s">
        <v>51</v>
      </c>
      <c r="AR4" s="220">
        <v>45889</v>
      </c>
    </row>
    <row r="5" spans="1:44" s="1" customFormat="1" ht="25.5">
      <c r="A5" s="173">
        <v>45845</v>
      </c>
      <c r="B5" s="174" t="s">
        <v>63</v>
      </c>
      <c r="C5" s="175" t="s">
        <v>64</v>
      </c>
      <c r="D5" s="174"/>
      <c r="E5" s="174"/>
      <c r="F5" s="174"/>
      <c r="G5" s="176" t="s">
        <v>65</v>
      </c>
      <c r="H5" s="177" t="s">
        <v>66</v>
      </c>
      <c r="I5" s="177" t="s">
        <v>67</v>
      </c>
      <c r="J5" s="177" t="s">
        <v>3</v>
      </c>
      <c r="K5" s="177" t="s">
        <v>68</v>
      </c>
      <c r="L5" s="178">
        <v>27541.93</v>
      </c>
      <c r="M5" s="179">
        <v>0.27012667594464151</v>
      </c>
      <c r="N5" s="178">
        <v>7439.81</v>
      </c>
      <c r="O5" s="178">
        <v>20102.12</v>
      </c>
      <c r="P5" s="178">
        <v>0</v>
      </c>
      <c r="Q5" s="178" t="s">
        <v>51</v>
      </c>
      <c r="R5" s="178"/>
      <c r="S5" s="178"/>
      <c r="T5" s="178"/>
      <c r="U5" s="178">
        <v>9.8571428571428577</v>
      </c>
      <c r="V5" s="178"/>
      <c r="W5" s="178">
        <v>0</v>
      </c>
      <c r="X5" s="178"/>
      <c r="Y5" s="178"/>
      <c r="Z5" s="178"/>
      <c r="AA5" s="178"/>
      <c r="AB5" s="178"/>
      <c r="AC5" s="178"/>
      <c r="AD5" s="193"/>
      <c r="AE5" s="193"/>
      <c r="AF5" s="178"/>
      <c r="AG5" s="178" t="s">
        <v>52</v>
      </c>
      <c r="AH5" s="179">
        <v>1</v>
      </c>
      <c r="AI5" s="193"/>
      <c r="AJ5" s="178" t="s">
        <v>53</v>
      </c>
      <c r="AK5" s="178">
        <v>27541.93</v>
      </c>
      <c r="AL5" s="244">
        <v>45914</v>
      </c>
      <c r="AM5" s="215">
        <v>9.8571428571428577</v>
      </c>
      <c r="AN5" s="229">
        <v>60</v>
      </c>
      <c r="AO5" s="263">
        <v>45974</v>
      </c>
      <c r="AP5" s="178" t="s">
        <v>53</v>
      </c>
      <c r="AQ5" s="201" t="s">
        <v>51</v>
      </c>
      <c r="AR5" s="220">
        <v>45914</v>
      </c>
    </row>
    <row r="6" spans="1:44" s="1" customFormat="1" ht="25.5">
      <c r="A6" s="173">
        <v>45845</v>
      </c>
      <c r="B6" s="174" t="s">
        <v>63</v>
      </c>
      <c r="C6" s="175" t="s">
        <v>69</v>
      </c>
      <c r="D6" s="174"/>
      <c r="E6" s="174"/>
      <c r="F6" s="174"/>
      <c r="G6" s="176" t="s">
        <v>70</v>
      </c>
      <c r="H6" s="177" t="s">
        <v>66</v>
      </c>
      <c r="I6" s="177" t="s">
        <v>67</v>
      </c>
      <c r="J6" s="177" t="s">
        <v>3</v>
      </c>
      <c r="K6" s="177" t="s">
        <v>50</v>
      </c>
      <c r="L6" s="178">
        <v>24019.99</v>
      </c>
      <c r="M6" s="179">
        <v>0.30643351641695099</v>
      </c>
      <c r="N6" s="178">
        <v>7360.53</v>
      </c>
      <c r="O6" s="178">
        <v>16659.460000000003</v>
      </c>
      <c r="P6" s="178">
        <v>0</v>
      </c>
      <c r="Q6" s="178" t="s">
        <v>51</v>
      </c>
      <c r="R6" s="178"/>
      <c r="S6" s="178"/>
      <c r="T6" s="178"/>
      <c r="U6" s="178">
        <v>10.285714285714286</v>
      </c>
      <c r="V6" s="178"/>
      <c r="W6" s="178">
        <v>0</v>
      </c>
      <c r="X6" s="178"/>
      <c r="Y6" s="178"/>
      <c r="Z6" s="178"/>
      <c r="AA6" s="178"/>
      <c r="AB6" s="178"/>
      <c r="AC6" s="178"/>
      <c r="AD6" s="193"/>
      <c r="AE6" s="193"/>
      <c r="AF6" s="178"/>
      <c r="AG6" s="178" t="s">
        <v>52</v>
      </c>
      <c r="AH6" s="179">
        <v>1</v>
      </c>
      <c r="AI6" s="193"/>
      <c r="AJ6" s="178" t="s">
        <v>53</v>
      </c>
      <c r="AK6" s="178">
        <v>24019.99</v>
      </c>
      <c r="AL6" s="244">
        <v>45917</v>
      </c>
      <c r="AM6" s="215">
        <v>10.285714285714286</v>
      </c>
      <c r="AN6" s="229">
        <v>60</v>
      </c>
      <c r="AO6" s="263">
        <v>45977</v>
      </c>
      <c r="AP6" s="178" t="s">
        <v>53</v>
      </c>
      <c r="AQ6" s="201" t="s">
        <v>51</v>
      </c>
      <c r="AR6" s="220">
        <v>45917</v>
      </c>
    </row>
    <row r="7" spans="1:44" s="1" customFormat="1" ht="25.5">
      <c r="A7" s="173">
        <v>45845</v>
      </c>
      <c r="B7" s="174" t="s">
        <v>63</v>
      </c>
      <c r="C7" s="175" t="s">
        <v>64</v>
      </c>
      <c r="D7" s="174"/>
      <c r="E7" s="174"/>
      <c r="F7" s="174"/>
      <c r="G7" s="176" t="s">
        <v>71</v>
      </c>
      <c r="H7" s="177" t="s">
        <v>66</v>
      </c>
      <c r="I7" s="177" t="s">
        <v>67</v>
      </c>
      <c r="J7" s="177" t="s">
        <v>3</v>
      </c>
      <c r="K7" s="177" t="s">
        <v>68</v>
      </c>
      <c r="L7" s="178">
        <v>18391.189999999999</v>
      </c>
      <c r="M7" s="179">
        <v>0.28911342876670842</v>
      </c>
      <c r="N7" s="178">
        <v>5317.14</v>
      </c>
      <c r="O7" s="178">
        <v>13074.05</v>
      </c>
      <c r="P7" s="178">
        <v>0</v>
      </c>
      <c r="Q7" s="178" t="s">
        <v>51</v>
      </c>
      <c r="R7" s="178"/>
      <c r="S7" s="178"/>
      <c r="T7" s="178"/>
      <c r="U7" s="178">
        <v>10.142857142857142</v>
      </c>
      <c r="V7" s="178"/>
      <c r="W7" s="178">
        <v>0</v>
      </c>
      <c r="X7" s="178"/>
      <c r="Y7" s="178"/>
      <c r="Z7" s="178"/>
      <c r="AA7" s="178"/>
      <c r="AB7" s="178"/>
      <c r="AC7" s="178"/>
      <c r="AD7" s="193"/>
      <c r="AE7" s="193"/>
      <c r="AF7" s="178"/>
      <c r="AG7" s="178" t="s">
        <v>52</v>
      </c>
      <c r="AH7" s="179">
        <v>1</v>
      </c>
      <c r="AI7" s="193"/>
      <c r="AJ7" s="178" t="s">
        <v>53</v>
      </c>
      <c r="AK7" s="178">
        <v>18391.189999999999</v>
      </c>
      <c r="AL7" s="244">
        <v>45916</v>
      </c>
      <c r="AM7" s="215">
        <v>10.142857142857142</v>
      </c>
      <c r="AN7" s="229">
        <v>60</v>
      </c>
      <c r="AO7" s="263">
        <v>45976</v>
      </c>
      <c r="AP7" s="178" t="s">
        <v>53</v>
      </c>
      <c r="AQ7" s="201" t="s">
        <v>51</v>
      </c>
      <c r="AR7" s="220">
        <v>45916</v>
      </c>
    </row>
    <row r="8" spans="1:44" s="1" customFormat="1" ht="25.5">
      <c r="A8" s="173">
        <v>45845</v>
      </c>
      <c r="B8" s="174" t="s">
        <v>63</v>
      </c>
      <c r="C8" s="175" t="s">
        <v>69</v>
      </c>
      <c r="D8" s="174"/>
      <c r="E8" s="174"/>
      <c r="F8" s="174"/>
      <c r="G8" s="176" t="s">
        <v>72</v>
      </c>
      <c r="H8" s="177" t="s">
        <v>66</v>
      </c>
      <c r="I8" s="177" t="s">
        <v>67</v>
      </c>
      <c r="J8" s="177" t="s">
        <v>3</v>
      </c>
      <c r="K8" s="177" t="s">
        <v>50</v>
      </c>
      <c r="L8" s="178">
        <v>31934.89</v>
      </c>
      <c r="M8" s="179">
        <v>0.29627219633447932</v>
      </c>
      <c r="N8" s="178">
        <v>9461.42</v>
      </c>
      <c r="O8" s="178">
        <v>22473.47</v>
      </c>
      <c r="P8" s="178">
        <v>0</v>
      </c>
      <c r="Q8" s="178" t="s">
        <v>51</v>
      </c>
      <c r="R8" s="178"/>
      <c r="S8" s="178"/>
      <c r="T8" s="178"/>
      <c r="U8" s="178">
        <v>9.8571428571428577</v>
      </c>
      <c r="V8" s="178"/>
      <c r="W8" s="178">
        <v>0</v>
      </c>
      <c r="X8" s="178"/>
      <c r="Y8" s="178"/>
      <c r="Z8" s="178"/>
      <c r="AA8" s="178"/>
      <c r="AB8" s="178"/>
      <c r="AC8" s="178"/>
      <c r="AD8" s="193"/>
      <c r="AE8" s="193"/>
      <c r="AF8" s="178"/>
      <c r="AG8" s="178" t="s">
        <v>52</v>
      </c>
      <c r="AH8" s="179">
        <v>1</v>
      </c>
      <c r="AI8" s="193"/>
      <c r="AJ8" s="178" t="s">
        <v>53</v>
      </c>
      <c r="AK8" s="178">
        <v>31934.89</v>
      </c>
      <c r="AL8" s="244">
        <v>45914</v>
      </c>
      <c r="AM8" s="215">
        <v>9.8571428571428577</v>
      </c>
      <c r="AN8" s="229">
        <v>60</v>
      </c>
      <c r="AO8" s="263">
        <v>45974</v>
      </c>
      <c r="AP8" s="178" t="s">
        <v>53</v>
      </c>
      <c r="AQ8" s="201" t="s">
        <v>51</v>
      </c>
      <c r="AR8" s="220">
        <v>45914</v>
      </c>
    </row>
    <row r="9" spans="1:44" s="1" customFormat="1" ht="25.5">
      <c r="A9" s="173">
        <v>45904</v>
      </c>
      <c r="B9" s="174" t="s">
        <v>63</v>
      </c>
      <c r="C9" s="175" t="s">
        <v>73</v>
      </c>
      <c r="D9" s="174"/>
      <c r="E9" s="174"/>
      <c r="F9" s="174"/>
      <c r="G9" s="265" t="s">
        <v>74</v>
      </c>
      <c r="H9" s="177" t="s">
        <v>75</v>
      </c>
      <c r="I9" s="177" t="s">
        <v>76</v>
      </c>
      <c r="J9" s="177" t="s">
        <v>3</v>
      </c>
      <c r="K9" s="177" t="s">
        <v>77</v>
      </c>
      <c r="L9" s="178">
        <v>3099.7</v>
      </c>
      <c r="M9" s="178"/>
      <c r="N9" s="178"/>
      <c r="O9" s="178"/>
      <c r="P9" s="178"/>
      <c r="Q9" s="178"/>
      <c r="R9" s="178"/>
      <c r="S9" s="178"/>
      <c r="T9" s="178"/>
      <c r="U9" s="178">
        <v>0</v>
      </c>
      <c r="V9" s="178"/>
      <c r="W9" s="178">
        <v>0</v>
      </c>
      <c r="X9" s="178"/>
      <c r="Y9" s="178"/>
      <c r="Z9" s="178"/>
      <c r="AA9" s="178"/>
      <c r="AB9" s="178"/>
      <c r="AC9" s="178"/>
      <c r="AD9" s="193"/>
      <c r="AE9" s="193"/>
      <c r="AF9" s="178"/>
      <c r="AG9" s="178" t="s">
        <v>52</v>
      </c>
      <c r="AH9" s="179"/>
      <c r="AI9" s="193"/>
      <c r="AJ9" s="178" t="s">
        <v>53</v>
      </c>
      <c r="AK9" s="178"/>
      <c r="AL9" s="244">
        <v>45904</v>
      </c>
      <c r="AM9" s="220"/>
      <c r="AN9" s="229">
        <v>60</v>
      </c>
      <c r="AO9" s="244"/>
      <c r="AP9" s="178" t="s">
        <v>53</v>
      </c>
      <c r="AQ9" s="178"/>
      <c r="AR9" s="178"/>
    </row>
    <row r="10" spans="1:44">
      <c r="AK10" s="12">
        <f>SUM(AK2:AK9)</f>
        <v>168745.22999999998</v>
      </c>
    </row>
  </sheetData>
  <conditionalFormatting sqref="Q1:Q9">
    <cfRule type="cellIs" dxfId="165" priority="9" operator="equal">
      <formula>"NOT OK"</formula>
    </cfRule>
    <cfRule type="cellIs" dxfId="164" priority="10" operator="equal">
      <formula>"OK"</formula>
    </cfRule>
  </conditionalFormatting>
  <conditionalFormatting sqref="T1:T9">
    <cfRule type="cellIs" dxfId="163" priority="7" operator="equal">
      <formula>"Closed"</formula>
    </cfRule>
    <cfRule type="cellIs" dxfId="162" priority="8" operator="equal">
      <formula>"Open"</formula>
    </cfRule>
  </conditionalFormatting>
  <conditionalFormatting sqref="AJ1:AJ9">
    <cfRule type="cellIs" dxfId="161" priority="2" operator="equal">
      <formula>"Pending"</formula>
    </cfRule>
    <cfRule type="cellIs" dxfId="160" priority="3" operator="equal">
      <formula>"Invoiced"</formula>
    </cfRule>
  </conditionalFormatting>
  <conditionalFormatting sqref="AP1:AP9">
    <cfRule type="cellIs" dxfId="159" priority="4" operator="equal">
      <formula>"Paid"</formula>
    </cfRule>
    <cfRule type="cellIs" dxfId="158" priority="5" operator="equal">
      <formula>"Pending"</formula>
    </cfRule>
  </conditionalFormatting>
  <conditionalFormatting sqref="AQ2:AQ8 AQ9:AR9">
    <cfRule type="cellIs" dxfId="157" priority="1" operator="equal">
      <formula>"Past Due"</formula>
    </cfRule>
  </conditionalFormatting>
  <conditionalFormatting sqref="AQ1:AR1">
    <cfRule type="cellIs" dxfId="156" priority="6" operator="equal">
      <formula>"Past Due"</formula>
    </cfRule>
  </conditionalFormatting>
  <dataValidations count="6">
    <dataValidation type="list" allowBlank="1" showInputMessage="1" showErrorMessage="1" sqref="AG1:AG9" xr:uid="{D3729635-9BF4-45C5-BF7D-EA046644912C}">
      <formula1>"DP, DR, SAT, FAT,Delivery"</formula1>
    </dataValidation>
    <dataValidation type="list" allowBlank="1" showInputMessage="1" showErrorMessage="1" sqref="AN1:AN9" xr:uid="{2439A071-32EA-48E9-A1CC-B0761E852062}">
      <formula1>"0, 30, 45, 60, 90"</formula1>
    </dataValidation>
    <dataValidation type="list" allowBlank="1" showInputMessage="1" showErrorMessage="1" sqref="AP1:AP9" xr:uid="{00998D2B-F07A-4CD2-B928-56A27FC7ABEF}">
      <formula1>"Pending, Paid"</formula1>
    </dataValidation>
    <dataValidation type="list" allowBlank="1" showInputMessage="1" showErrorMessage="1" sqref="B1:B9" xr:uid="{CF0FC488-8A60-4941-974F-C7A43AF55995}">
      <formula1>"ICT, FCT, FIX, IAT, SW, REPS"</formula1>
    </dataValidation>
    <dataValidation type="list" allowBlank="1" showInputMessage="1" showErrorMessage="1" sqref="D1:D9" xr:uid="{FF6C0F92-8640-4D83-A808-00DA0BEC5AFC}">
      <formula1>"Design, Debug, Install, Project, Razón Social,n/a"</formula1>
    </dataValidation>
    <dataValidation type="list" allowBlank="1" showInputMessage="1" showErrorMessage="1" sqref="T1:T9" xr:uid="{4B9E2F1D-B1C1-4132-8393-93E38A0B537E}">
      <formula1>"Open, Closed"</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9E6EE-AF5F-4E14-A118-029A0ACF8B5F}">
  <sheetPr>
    <tabColor rgb="FF002060"/>
  </sheetPr>
  <dimension ref="A1:AR167"/>
  <sheetViews>
    <sheetView showGridLines="0" tabSelected="1" zoomScale="130" zoomScaleNormal="130" workbookViewId="0">
      <selection activeCell="AK105" sqref="AK105"/>
    </sheetView>
  </sheetViews>
  <sheetFormatPr defaultColWidth="8.85546875" defaultRowHeight="15" outlineLevelCol="1"/>
  <cols>
    <col min="1" max="1" width="12.85546875" style="23" customWidth="1"/>
    <col min="2" max="2" width="10.28515625" style="1" bestFit="1" customWidth="1"/>
    <col min="3" max="3" width="18.7109375" style="282" customWidth="1"/>
    <col min="4" max="4" width="16.7109375" style="39" hidden="1" customWidth="1" outlineLevel="1"/>
    <col min="5" max="5" width="15.7109375" style="1" hidden="1" customWidth="1" outlineLevel="1"/>
    <col min="6" max="6" width="17.140625" style="1" hidden="1" customWidth="1" outlineLevel="1"/>
    <col min="7" max="7" width="27" style="1" customWidth="1" collapsed="1"/>
    <col min="8" max="8" width="11.7109375" style="1" customWidth="1"/>
    <col min="9" max="9" width="13.28515625" style="1" customWidth="1"/>
    <col min="10" max="10" width="6.5703125" style="1" customWidth="1"/>
    <col min="11" max="11" width="10.140625" style="1" customWidth="1"/>
    <col min="12" max="12" width="13.7109375" style="7" customWidth="1"/>
    <col min="13" max="13" width="8.140625" style="7" customWidth="1"/>
    <col min="14" max="14" width="13" style="7" customWidth="1"/>
    <col min="15" max="15" width="12.28515625" style="7" customWidth="1"/>
    <col min="16" max="16" width="8.7109375" style="7" hidden="1" customWidth="1"/>
    <col min="17" max="17" width="9.5703125" style="7" bestFit="1" customWidth="1"/>
    <col min="18" max="20" width="11.5703125" style="7" hidden="1" customWidth="1" outlineLevel="1"/>
    <col min="21" max="21" width="12.140625" style="7" hidden="1" customWidth="1" outlineLevel="1"/>
    <col min="22" max="32" width="11.5703125" style="7" hidden="1" customWidth="1" outlineLevel="1"/>
    <col min="33" max="33" width="9.42578125" style="9" customWidth="1" collapsed="1"/>
    <col min="34" max="34" width="11.28515625" style="227" customWidth="1"/>
    <col min="35" max="35" width="7.85546875" style="216" customWidth="1"/>
    <col min="36" max="36" width="11.85546875" style="1" customWidth="1"/>
    <col min="37" max="37" width="13.28515625" style="137" customWidth="1"/>
    <col min="38" max="38" width="13.7109375" style="262" customWidth="1"/>
    <col min="39" max="39" width="19.42578125" style="222" customWidth="1"/>
    <col min="40" max="40" width="10" style="1" customWidth="1"/>
    <col min="41" max="41" width="14.7109375" style="262" customWidth="1"/>
    <col min="42" max="42" width="16.140625" style="1" customWidth="1"/>
    <col min="43" max="43" width="10.28515625" style="1" customWidth="1"/>
    <col min="44" max="44" width="13.5703125" style="1" hidden="1" customWidth="1"/>
    <col min="45" max="16384" width="8.85546875" style="1"/>
  </cols>
  <sheetData>
    <row r="1" spans="1:44" ht="91.5" customHeight="1">
      <c r="A1" s="24"/>
      <c r="B1" s="29"/>
      <c r="C1" s="276"/>
      <c r="D1" s="26"/>
      <c r="E1" s="27"/>
      <c r="F1" s="27"/>
      <c r="G1" s="27"/>
      <c r="H1" s="27"/>
      <c r="I1" s="27"/>
      <c r="J1" s="27"/>
      <c r="K1" s="27"/>
      <c r="L1" s="33"/>
      <c r="M1" s="33"/>
      <c r="N1" s="33"/>
      <c r="O1" s="33"/>
      <c r="P1" s="33"/>
      <c r="Q1" s="27"/>
      <c r="R1" s="27"/>
      <c r="S1" s="27"/>
      <c r="T1" s="27"/>
      <c r="U1" s="33"/>
      <c r="V1" s="33"/>
      <c r="W1" s="27"/>
      <c r="X1" s="33"/>
      <c r="Y1" s="33"/>
      <c r="Z1" s="27"/>
      <c r="AA1" s="33"/>
      <c r="AB1" s="33"/>
      <c r="AC1" s="27"/>
      <c r="AD1" s="27"/>
      <c r="AE1" s="27"/>
      <c r="AF1" s="27"/>
      <c r="AG1" s="26"/>
      <c r="AH1" s="223"/>
      <c r="AI1" s="213"/>
      <c r="AJ1" s="26"/>
      <c r="AK1" s="136"/>
      <c r="AL1" s="259"/>
      <c r="AM1" s="217"/>
      <c r="AN1" s="26"/>
      <c r="AO1" s="259"/>
      <c r="AP1" s="26"/>
      <c r="AQ1" s="26"/>
      <c r="AR1" s="26"/>
    </row>
    <row r="2" spans="1:44" ht="13.5" customHeight="1">
      <c r="A2" s="24"/>
      <c r="B2" s="29"/>
      <c r="C2" s="276"/>
      <c r="D2" s="26"/>
      <c r="E2" s="27"/>
      <c r="F2" s="27"/>
      <c r="G2" s="27"/>
      <c r="H2" s="27"/>
      <c r="I2" s="27"/>
      <c r="J2" s="27"/>
      <c r="K2" s="27"/>
      <c r="L2" s="33"/>
      <c r="M2" s="33"/>
      <c r="N2" s="33"/>
      <c r="O2" s="33"/>
      <c r="P2" s="33"/>
      <c r="Q2" s="27"/>
      <c r="R2" s="27"/>
      <c r="S2" s="27"/>
      <c r="T2" s="27"/>
      <c r="U2" s="288" t="s">
        <v>78</v>
      </c>
      <c r="V2" s="289"/>
      <c r="W2" s="290"/>
      <c r="X2" s="288" t="s">
        <v>79</v>
      </c>
      <c r="Y2" s="289"/>
      <c r="Z2" s="289"/>
      <c r="AA2" s="289" t="s">
        <v>80</v>
      </c>
      <c r="AB2" s="289"/>
      <c r="AC2" s="290"/>
      <c r="AD2" s="288" t="s">
        <v>81</v>
      </c>
      <c r="AE2" s="289"/>
      <c r="AF2" s="290"/>
      <c r="AG2" s="26"/>
      <c r="AH2" s="223"/>
      <c r="AI2" s="213"/>
      <c r="AJ2" s="26"/>
      <c r="AK2" s="136"/>
      <c r="AL2" s="259"/>
      <c r="AM2" s="217"/>
      <c r="AN2" s="26"/>
      <c r="AO2" s="259"/>
      <c r="AP2" s="26"/>
      <c r="AQ2" s="26"/>
      <c r="AR2" s="26"/>
    </row>
    <row r="3" spans="1:44" ht="51">
      <c r="A3" s="83" t="s">
        <v>0</v>
      </c>
      <c r="B3" s="84" t="s">
        <v>1</v>
      </c>
      <c r="C3" s="277" t="s">
        <v>2</v>
      </c>
      <c r="D3" s="84" t="s">
        <v>3</v>
      </c>
      <c r="E3" s="84" t="s">
        <v>4</v>
      </c>
      <c r="F3" s="84" t="s">
        <v>5</v>
      </c>
      <c r="G3" s="85" t="s">
        <v>6</v>
      </c>
      <c r="H3" s="84" t="s">
        <v>7</v>
      </c>
      <c r="I3" s="84" t="s">
        <v>8</v>
      </c>
      <c r="J3" s="84" t="s">
        <v>9</v>
      </c>
      <c r="K3" s="84" t="s">
        <v>10</v>
      </c>
      <c r="L3" s="266" t="s">
        <v>11</v>
      </c>
      <c r="M3" s="86" t="s">
        <v>12</v>
      </c>
      <c r="N3" s="86" t="s">
        <v>13</v>
      </c>
      <c r="O3" s="87" t="s">
        <v>14</v>
      </c>
      <c r="P3" s="86" t="s">
        <v>15</v>
      </c>
      <c r="Q3" s="88" t="s">
        <v>16</v>
      </c>
      <c r="R3" s="88" t="s">
        <v>17</v>
      </c>
      <c r="S3" s="88" t="s">
        <v>18</v>
      </c>
      <c r="T3" s="88" t="s">
        <v>19</v>
      </c>
      <c r="U3" s="89" t="s">
        <v>20</v>
      </c>
      <c r="V3" s="90" t="s">
        <v>21</v>
      </c>
      <c r="W3" s="141" t="s">
        <v>22</v>
      </c>
      <c r="X3" s="89" t="s">
        <v>23</v>
      </c>
      <c r="Y3" s="90" t="s">
        <v>24</v>
      </c>
      <c r="Z3" s="91" t="s">
        <v>25</v>
      </c>
      <c r="AA3" s="90" t="s">
        <v>26</v>
      </c>
      <c r="AB3" s="90" t="s">
        <v>27</v>
      </c>
      <c r="AC3" s="91" t="s">
        <v>28</v>
      </c>
      <c r="AD3" s="92" t="s">
        <v>29</v>
      </c>
      <c r="AE3" s="92" t="s">
        <v>30</v>
      </c>
      <c r="AF3" s="91" t="s">
        <v>31</v>
      </c>
      <c r="AG3" s="84" t="s">
        <v>32</v>
      </c>
      <c r="AH3" s="224" t="s">
        <v>33</v>
      </c>
      <c r="AI3" s="214" t="s">
        <v>34</v>
      </c>
      <c r="AJ3" s="84" t="s">
        <v>35</v>
      </c>
      <c r="AK3" s="86" t="s">
        <v>36</v>
      </c>
      <c r="AL3" s="233" t="s">
        <v>37</v>
      </c>
      <c r="AM3" s="218" t="s">
        <v>38</v>
      </c>
      <c r="AN3" s="84" t="s">
        <v>39</v>
      </c>
      <c r="AO3" s="233" t="s">
        <v>40</v>
      </c>
      <c r="AP3" s="84" t="s">
        <v>41</v>
      </c>
      <c r="AQ3" s="88" t="s">
        <v>42</v>
      </c>
      <c r="AR3" s="88" t="s">
        <v>43</v>
      </c>
    </row>
    <row r="4" spans="1:44" ht="25.5">
      <c r="A4" s="173">
        <v>45350</v>
      </c>
      <c r="B4" s="174" t="s">
        <v>57</v>
      </c>
      <c r="C4" s="278" t="s">
        <v>82</v>
      </c>
      <c r="D4" s="174" t="s">
        <v>6</v>
      </c>
      <c r="E4" s="174" t="s">
        <v>53</v>
      </c>
      <c r="F4" s="174" t="s">
        <v>53</v>
      </c>
      <c r="G4" s="176" t="s">
        <v>83</v>
      </c>
      <c r="H4" s="177" t="s">
        <v>84</v>
      </c>
      <c r="I4" s="177" t="s">
        <v>85</v>
      </c>
      <c r="J4" s="177" t="s">
        <v>49</v>
      </c>
      <c r="K4" s="177"/>
      <c r="L4" s="185">
        <f>62476*0.3</f>
        <v>18742.8</v>
      </c>
      <c r="M4" s="241">
        <v>0</v>
      </c>
      <c r="N4" s="186">
        <v>0</v>
      </c>
      <c r="O4" s="186">
        <v>0</v>
      </c>
      <c r="P4" s="186">
        <v>0</v>
      </c>
      <c r="Q4" s="178" t="s">
        <v>51</v>
      </c>
      <c r="R4" s="178"/>
      <c r="S4" s="179"/>
      <c r="T4" s="178"/>
      <c r="U4" s="178">
        <f>(Table1[[#This Row],[Invoice Date]]-Table1[[#This Row],[Month]])/7</f>
        <v>89.428571428571431</v>
      </c>
      <c r="V4" s="178"/>
      <c r="W4" s="178">
        <f t="shared" ref="W4:W35" si="0">T4+V4</f>
        <v>0</v>
      </c>
      <c r="X4" s="178"/>
      <c r="Y4" s="178"/>
      <c r="Z4" s="178"/>
      <c r="AA4" s="178"/>
      <c r="AB4" s="178"/>
      <c r="AC4" s="178"/>
      <c r="AD4" s="193"/>
      <c r="AE4" s="193"/>
      <c r="AF4" s="178"/>
      <c r="AG4" s="178" t="s">
        <v>62</v>
      </c>
      <c r="AH4" s="179">
        <v>0.3</v>
      </c>
      <c r="AI4" s="193"/>
      <c r="AJ4" s="178" t="s">
        <v>53</v>
      </c>
      <c r="AK4" s="178">
        <f>+Table1[[#This Row],[PO Amount]]</f>
        <v>18742.8</v>
      </c>
      <c r="AL4" s="244">
        <v>45976</v>
      </c>
      <c r="AM4" s="215">
        <f>(Table1[[#This Row],[Invoice Date]]-Table1[[#This Row],[Month]])/7</f>
        <v>89.428571428571431</v>
      </c>
      <c r="AN4" s="229">
        <v>60</v>
      </c>
      <c r="AO4" s="263">
        <f t="shared" ref="AO4:AO5" si="1">AL4+AN4</f>
        <v>46036</v>
      </c>
      <c r="AP4" s="178" t="s">
        <v>53</v>
      </c>
      <c r="AQ4" s="201" t="str">
        <f ca="1">IF(AND(AO4&lt;TODAY(),Table1[[#This Row],[Payment Status]]="Pending"),"Past Due", "OK")</f>
        <v>OK</v>
      </c>
      <c r="AR4" s="220">
        <v>45910</v>
      </c>
    </row>
    <row r="5" spans="1:44" ht="25.5">
      <c r="A5" s="173">
        <v>45350</v>
      </c>
      <c r="B5" s="174" t="s">
        <v>57</v>
      </c>
      <c r="C5" s="278" t="s">
        <v>82</v>
      </c>
      <c r="D5" s="174" t="s">
        <v>6</v>
      </c>
      <c r="E5" s="174" t="s">
        <v>53</v>
      </c>
      <c r="F5" s="174" t="s">
        <v>53</v>
      </c>
      <c r="G5" s="176" t="s">
        <v>83</v>
      </c>
      <c r="H5" s="177" t="s">
        <v>84</v>
      </c>
      <c r="I5" s="177" t="s">
        <v>85</v>
      </c>
      <c r="J5" s="177" t="s">
        <v>49</v>
      </c>
      <c r="K5" s="177"/>
      <c r="L5" s="185">
        <f>62476*0.1</f>
        <v>6247.6</v>
      </c>
      <c r="M5" s="241">
        <v>0</v>
      </c>
      <c r="N5" s="186">
        <v>0</v>
      </c>
      <c r="O5" s="186">
        <v>0</v>
      </c>
      <c r="P5" s="186">
        <v>0</v>
      </c>
      <c r="Q5" s="178" t="s">
        <v>51</v>
      </c>
      <c r="R5" s="178"/>
      <c r="S5" s="179"/>
      <c r="T5" s="178"/>
      <c r="U5" s="178">
        <f>(Table1[[#This Row],[Invoice Date]]-Table1[[#This Row],[Month]])/7</f>
        <v>89.285714285714292</v>
      </c>
      <c r="V5" s="178"/>
      <c r="W5" s="178">
        <f t="shared" si="0"/>
        <v>0</v>
      </c>
      <c r="X5" s="178"/>
      <c r="Y5" s="178"/>
      <c r="Z5" s="178"/>
      <c r="AA5" s="178"/>
      <c r="AB5" s="178"/>
      <c r="AC5" s="178"/>
      <c r="AD5" s="193"/>
      <c r="AE5" s="193"/>
      <c r="AF5" s="178"/>
      <c r="AG5" s="178" t="s">
        <v>86</v>
      </c>
      <c r="AH5" s="179">
        <v>0.1</v>
      </c>
      <c r="AI5" s="193"/>
      <c r="AJ5" s="178" t="s">
        <v>53</v>
      </c>
      <c r="AK5" s="178">
        <f>+Table1[[#This Row],[PO Amount]]</f>
        <v>6247.6</v>
      </c>
      <c r="AL5" s="244">
        <v>45975</v>
      </c>
      <c r="AM5" s="215">
        <f>(Table1[[#This Row],[Invoice Date]]-Table1[[#This Row],[Month]])/7</f>
        <v>89.285714285714292</v>
      </c>
      <c r="AN5" s="229">
        <v>60</v>
      </c>
      <c r="AO5" s="263">
        <f t="shared" si="1"/>
        <v>46035</v>
      </c>
      <c r="AP5" s="178" t="s">
        <v>53</v>
      </c>
      <c r="AQ5" s="201" t="str">
        <f ca="1">IF(AND(AO5&lt;TODAY(),Table1[[#This Row],[Payment Status]]="Pending"),"Past Due", "OK")</f>
        <v>OK</v>
      </c>
      <c r="AR5" s="220">
        <v>45910</v>
      </c>
    </row>
    <row r="6" spans="1:44">
      <c r="A6" s="173">
        <v>45457</v>
      </c>
      <c r="B6" s="174" t="s">
        <v>63</v>
      </c>
      <c r="C6" s="278" t="s">
        <v>87</v>
      </c>
      <c r="D6" s="174" t="s">
        <v>88</v>
      </c>
      <c r="E6" s="174" t="s">
        <v>89</v>
      </c>
      <c r="F6" s="174" t="s">
        <v>89</v>
      </c>
      <c r="G6" s="176" t="s">
        <v>90</v>
      </c>
      <c r="H6" s="177" t="s">
        <v>47</v>
      </c>
      <c r="I6" s="177" t="s">
        <v>91</v>
      </c>
      <c r="J6" s="177" t="s">
        <v>49</v>
      </c>
      <c r="K6" s="177" t="s">
        <v>92</v>
      </c>
      <c r="L6" s="178">
        <v>28722</v>
      </c>
      <c r="M6" s="179">
        <f>Table1[[#This Row],[Quoted Rev]]/Table1[[#This Row],[PO Amount]]</f>
        <v>0.34617645010793119</v>
      </c>
      <c r="N6" s="178">
        <v>9942.8799999999992</v>
      </c>
      <c r="O6" s="178">
        <f>+Table1[[#This Row],[PO Amount]]-Table1[[#This Row],[Quoted Rev]]</f>
        <v>18779.120000000003</v>
      </c>
      <c r="P6" s="178">
        <v>0</v>
      </c>
      <c r="Q6" s="178" t="s">
        <v>51</v>
      </c>
      <c r="R6" s="178">
        <v>0</v>
      </c>
      <c r="S6" s="179">
        <v>0</v>
      </c>
      <c r="T6" s="178"/>
      <c r="U6" s="178">
        <f>(Table1[[#This Row],[Invoice Date]]-Table1[[#This Row],[Month]])/7</f>
        <v>37.428571428571431</v>
      </c>
      <c r="V6" s="178"/>
      <c r="W6" s="178">
        <f t="shared" si="0"/>
        <v>0</v>
      </c>
      <c r="X6" s="178"/>
      <c r="Y6" s="178"/>
      <c r="Z6" s="178"/>
      <c r="AA6" s="178"/>
      <c r="AB6" s="178"/>
      <c r="AC6" s="178"/>
      <c r="AD6" s="193"/>
      <c r="AE6" s="193"/>
      <c r="AF6" s="178"/>
      <c r="AG6" s="178" t="s">
        <v>52</v>
      </c>
      <c r="AH6" s="179">
        <v>1</v>
      </c>
      <c r="AI6" s="193">
        <v>1157</v>
      </c>
      <c r="AJ6" s="178" t="s">
        <v>93</v>
      </c>
      <c r="AK6" s="178">
        <f>+Table1[[#This Row],[PO Amount]]</f>
        <v>28722</v>
      </c>
      <c r="AL6" s="244">
        <v>45719</v>
      </c>
      <c r="AM6" s="215">
        <f>(Table1[[#This Row],[Invoice Date]]-Table1[[#This Row],[Month]])/7</f>
        <v>37.428571428571431</v>
      </c>
      <c r="AN6" s="229">
        <v>30</v>
      </c>
      <c r="AO6" s="263">
        <f t="shared" ref="AO6" si="2">AL6+AN6</f>
        <v>45749</v>
      </c>
      <c r="AP6" s="178" t="s">
        <v>94</v>
      </c>
      <c r="AQ6" s="201" t="str">
        <f ca="1">IF(AND(AO6&lt;TODAY(),Table1[[#This Row],[Payment Status]]="Pending"),"Past Due", "OK")</f>
        <v>OK</v>
      </c>
      <c r="AR6" s="178"/>
    </row>
    <row r="7" spans="1:44">
      <c r="A7" s="173">
        <v>45517</v>
      </c>
      <c r="B7" s="174" t="s">
        <v>95</v>
      </c>
      <c r="C7" s="279"/>
      <c r="D7" s="174" t="s">
        <v>6</v>
      </c>
      <c r="E7" s="174"/>
      <c r="F7" s="174" t="s">
        <v>53</v>
      </c>
      <c r="G7" s="176" t="s">
        <v>96</v>
      </c>
      <c r="H7" s="177" t="s">
        <v>75</v>
      </c>
      <c r="I7" s="177" t="s">
        <v>76</v>
      </c>
      <c r="J7" s="177" t="s">
        <v>49</v>
      </c>
      <c r="K7" s="177" t="s">
        <v>97</v>
      </c>
      <c r="L7" s="178">
        <f>479772.58*0.09</f>
        <v>43179.532200000001</v>
      </c>
      <c r="M7" s="179">
        <f>Table1[[#This Row],[Quoted Rev]]/Table1[[#This Row],[PO Amount]]</f>
        <v>1</v>
      </c>
      <c r="N7" s="178">
        <f>+Table1[[#This Row],[PO Amount]]</f>
        <v>43179.532200000001</v>
      </c>
      <c r="O7" s="178">
        <v>0</v>
      </c>
      <c r="P7" s="178">
        <v>0</v>
      </c>
      <c r="Q7" s="178" t="s">
        <v>51</v>
      </c>
      <c r="R7" s="178">
        <v>0</v>
      </c>
      <c r="S7" s="179">
        <v>0</v>
      </c>
      <c r="T7" s="178"/>
      <c r="U7" s="178">
        <f>(Table1[[#This Row],[Invoice Date]]-Table1[[#This Row],[Month]])/7</f>
        <v>59.428571428571431</v>
      </c>
      <c r="V7" s="178"/>
      <c r="W7" s="178">
        <f t="shared" si="0"/>
        <v>0</v>
      </c>
      <c r="X7" s="178"/>
      <c r="Y7" s="178"/>
      <c r="Z7" s="178"/>
      <c r="AA7" s="178"/>
      <c r="AB7" s="178"/>
      <c r="AC7" s="178"/>
      <c r="AD7" s="193"/>
      <c r="AE7" s="193"/>
      <c r="AF7" s="178"/>
      <c r="AG7" s="178" t="s">
        <v>98</v>
      </c>
      <c r="AH7" s="179">
        <v>1</v>
      </c>
      <c r="AI7" s="193"/>
      <c r="AJ7" s="178" t="s">
        <v>53</v>
      </c>
      <c r="AK7" s="178">
        <f>+Table1[[#This Row],[PO Amount]]</f>
        <v>43179.532200000001</v>
      </c>
      <c r="AL7" s="244">
        <v>45933</v>
      </c>
      <c r="AM7" s="215">
        <f>(Table1[[#This Row],[Invoice Date]]-Table1[[#This Row],[Month]])/7</f>
        <v>59.428571428571431</v>
      </c>
      <c r="AN7" s="229">
        <v>30</v>
      </c>
      <c r="AO7" s="263">
        <f t="shared" ref="AO7:AO97" si="3">AL7+AN7</f>
        <v>45963</v>
      </c>
      <c r="AP7" s="178" t="s">
        <v>53</v>
      </c>
      <c r="AQ7" s="201" t="str">
        <f ca="1">IF(AND(AO7&lt;TODAY(),Table1[[#This Row],[Payment Status]]="Pending"),"Past Due", "OK")</f>
        <v>Past Due</v>
      </c>
      <c r="AR7" s="249"/>
    </row>
    <row r="8" spans="1:44">
      <c r="A8" s="173">
        <v>45518</v>
      </c>
      <c r="B8" s="174" t="s">
        <v>44</v>
      </c>
      <c r="C8" s="278" t="s">
        <v>99</v>
      </c>
      <c r="D8" s="174"/>
      <c r="E8" s="174"/>
      <c r="F8" s="174"/>
      <c r="G8" s="176" t="s">
        <v>100</v>
      </c>
      <c r="H8" s="177" t="s">
        <v>47</v>
      </c>
      <c r="I8" s="177" t="s">
        <v>91</v>
      </c>
      <c r="J8" s="177" t="s">
        <v>49</v>
      </c>
      <c r="K8" s="177" t="s">
        <v>101</v>
      </c>
      <c r="L8" s="178">
        <v>35863.699999999997</v>
      </c>
      <c r="M8" s="179">
        <v>0.18720000000000001</v>
      </c>
      <c r="N8" s="178">
        <f>+Table1[[#This Row],[PO Amount]]*Table1[[#This Row],[Theorical Margen]]</f>
        <v>6713.6846399999995</v>
      </c>
      <c r="O8" s="178">
        <f>+Table1[[#This Row],[PO Amount]]-Table1[[#This Row],[Quoted Rev]]</f>
        <v>29150.015359999998</v>
      </c>
      <c r="P8" s="178">
        <v>0</v>
      </c>
      <c r="Q8" s="178" t="s">
        <v>51</v>
      </c>
      <c r="R8" s="178"/>
      <c r="S8" s="179"/>
      <c r="T8" s="178"/>
      <c r="U8" s="178">
        <f>(Table1[[#This Row],[Invoice Date]]-Table1[[#This Row],[Month]])/7</f>
        <v>23.285714285714285</v>
      </c>
      <c r="V8" s="178"/>
      <c r="W8" s="178">
        <f t="shared" si="0"/>
        <v>0</v>
      </c>
      <c r="X8" s="178"/>
      <c r="Y8" s="178"/>
      <c r="Z8" s="178"/>
      <c r="AA8" s="178"/>
      <c r="AB8" s="178"/>
      <c r="AC8" s="178"/>
      <c r="AD8" s="193"/>
      <c r="AE8" s="193"/>
      <c r="AF8" s="178"/>
      <c r="AG8" s="178" t="s">
        <v>52</v>
      </c>
      <c r="AH8" s="179">
        <v>1</v>
      </c>
      <c r="AI8" s="193">
        <v>1142</v>
      </c>
      <c r="AJ8" s="178" t="s">
        <v>93</v>
      </c>
      <c r="AK8" s="178">
        <f>+Table1[[#This Row],[PO Amount]]</f>
        <v>35863.699999999997</v>
      </c>
      <c r="AL8" s="244">
        <v>45681</v>
      </c>
      <c r="AM8" s="215">
        <f>(Table1[[#This Row],[Invoice Date]]-Table1[[#This Row],[Month]])/7</f>
        <v>23.285714285714285</v>
      </c>
      <c r="AN8" s="229">
        <v>30</v>
      </c>
      <c r="AO8" s="263">
        <f t="shared" si="3"/>
        <v>45711</v>
      </c>
      <c r="AP8" s="178" t="s">
        <v>94</v>
      </c>
      <c r="AQ8" s="201" t="str">
        <f ca="1">IF(AND(AO8&lt;TODAY(),Table1[[#This Row],[Payment Status]]="Pending"),"Past Due", "OK")</f>
        <v>OK</v>
      </c>
      <c r="AR8" s="178"/>
    </row>
    <row r="9" spans="1:44">
      <c r="A9" s="173">
        <v>45569</v>
      </c>
      <c r="B9" s="174" t="s">
        <v>63</v>
      </c>
      <c r="C9" s="278" t="s">
        <v>102</v>
      </c>
      <c r="D9" s="174" t="s">
        <v>88</v>
      </c>
      <c r="E9" s="174" t="s">
        <v>89</v>
      </c>
      <c r="F9" s="174" t="s">
        <v>89</v>
      </c>
      <c r="G9" s="176" t="s">
        <v>103</v>
      </c>
      <c r="H9" s="177" t="s">
        <v>47</v>
      </c>
      <c r="I9" s="177" t="s">
        <v>91</v>
      </c>
      <c r="J9" s="177" t="s">
        <v>49</v>
      </c>
      <c r="K9" s="177" t="s">
        <v>92</v>
      </c>
      <c r="L9" s="178">
        <v>64150.57</v>
      </c>
      <c r="M9" s="179">
        <f>Table1[[#This Row],[Quoted Rev]]/Table1[[#This Row],[PO Amount]]</f>
        <v>0.2249328415943927</v>
      </c>
      <c r="N9" s="178">
        <v>14429.57</v>
      </c>
      <c r="O9" s="178">
        <f>+Table1[[#This Row],[PO Amount]]-Table1[[#This Row],[Quoted Rev]]</f>
        <v>49721</v>
      </c>
      <c r="P9" s="178">
        <v>0</v>
      </c>
      <c r="Q9" s="178" t="s">
        <v>51</v>
      </c>
      <c r="R9" s="178"/>
      <c r="S9" s="178"/>
      <c r="T9" s="178"/>
      <c r="U9" s="178">
        <f>(Table1[[#This Row],[Invoice Date]]-Table1[[#This Row],[Month]])/7</f>
        <v>23.428571428571427</v>
      </c>
      <c r="V9" s="178"/>
      <c r="W9" s="178">
        <f t="shared" si="0"/>
        <v>0</v>
      </c>
      <c r="X9" s="178"/>
      <c r="Y9" s="178"/>
      <c r="Z9" s="178"/>
      <c r="AA9" s="178"/>
      <c r="AB9" s="178"/>
      <c r="AC9" s="178"/>
      <c r="AD9" s="193"/>
      <c r="AE9" s="193"/>
      <c r="AF9" s="178"/>
      <c r="AG9" s="178" t="s">
        <v>52</v>
      </c>
      <c r="AH9" s="179">
        <v>1</v>
      </c>
      <c r="AI9" s="193">
        <v>1155</v>
      </c>
      <c r="AJ9" s="178" t="s">
        <v>93</v>
      </c>
      <c r="AK9" s="178">
        <f>+Table1[[#This Row],[PO Amount]]</f>
        <v>64150.57</v>
      </c>
      <c r="AL9" s="244">
        <v>45733</v>
      </c>
      <c r="AM9" s="215">
        <f>(Table1[[#This Row],[Invoice Date]]-Table1[[#This Row],[Month]])/7</f>
        <v>23.428571428571427</v>
      </c>
      <c r="AN9" s="229">
        <v>30</v>
      </c>
      <c r="AO9" s="263">
        <f t="shared" si="3"/>
        <v>45763</v>
      </c>
      <c r="AP9" s="178" t="s">
        <v>94</v>
      </c>
      <c r="AQ9" s="201" t="str">
        <f ca="1">IF(AND(AO9&lt;TODAY(),Table1[[#This Row],[Payment Status]]="Pending"),"Past Due", "OK")</f>
        <v>OK</v>
      </c>
      <c r="AR9" s="178"/>
    </row>
    <row r="10" spans="1:44">
      <c r="A10" s="173">
        <v>45572</v>
      </c>
      <c r="B10" s="174" t="s">
        <v>63</v>
      </c>
      <c r="C10" s="278" t="s">
        <v>104</v>
      </c>
      <c r="D10" s="174" t="s">
        <v>88</v>
      </c>
      <c r="E10" s="174" t="s">
        <v>89</v>
      </c>
      <c r="F10" s="174" t="s">
        <v>89</v>
      </c>
      <c r="G10" s="176" t="s">
        <v>105</v>
      </c>
      <c r="H10" s="177" t="s">
        <v>47</v>
      </c>
      <c r="I10" s="177" t="s">
        <v>91</v>
      </c>
      <c r="J10" s="177"/>
      <c r="K10" s="177" t="s">
        <v>92</v>
      </c>
      <c r="L10" s="178">
        <v>55399.32</v>
      </c>
      <c r="M10" s="179">
        <f>Table1[[#This Row],[Quoted Rev]]/Table1[[#This Row],[PO Amount]]</f>
        <v>0.25988838852173635</v>
      </c>
      <c r="N10" s="178">
        <v>14397.64</v>
      </c>
      <c r="O10" s="178">
        <f>+Table1[[#This Row],[PO Amount]]-Table1[[#This Row],[Quoted Rev]]</f>
        <v>41001.68</v>
      </c>
      <c r="P10" s="178">
        <v>0</v>
      </c>
      <c r="Q10" s="178" t="s">
        <v>51</v>
      </c>
      <c r="R10" s="178"/>
      <c r="S10" s="178"/>
      <c r="T10" s="178"/>
      <c r="U10" s="178">
        <f>(Table1[[#This Row],[Invoice Date]]-Table1[[#This Row],[Month]])/7</f>
        <v>23</v>
      </c>
      <c r="V10" s="178"/>
      <c r="W10" s="178">
        <f t="shared" si="0"/>
        <v>0</v>
      </c>
      <c r="X10" s="178"/>
      <c r="Y10" s="178"/>
      <c r="Z10" s="178"/>
      <c r="AA10" s="178"/>
      <c r="AB10" s="178"/>
      <c r="AC10" s="178"/>
      <c r="AD10" s="193"/>
      <c r="AE10" s="193"/>
      <c r="AF10" s="178"/>
      <c r="AG10" s="178" t="s">
        <v>52</v>
      </c>
      <c r="AH10" s="179">
        <v>1</v>
      </c>
      <c r="AI10" s="193">
        <v>1156</v>
      </c>
      <c r="AJ10" s="178" t="s">
        <v>93</v>
      </c>
      <c r="AK10" s="178">
        <f>+Table1[[#This Row],[PO Amount]]</f>
        <v>55399.32</v>
      </c>
      <c r="AL10" s="244">
        <v>45733</v>
      </c>
      <c r="AM10" s="215">
        <f>(Table1[[#This Row],[Invoice Date]]-Table1[[#This Row],[Month]])/7</f>
        <v>23</v>
      </c>
      <c r="AN10" s="229">
        <v>30</v>
      </c>
      <c r="AO10" s="263">
        <f t="shared" si="3"/>
        <v>45763</v>
      </c>
      <c r="AP10" s="178" t="s">
        <v>94</v>
      </c>
      <c r="AQ10" s="201" t="str">
        <f ca="1">IF(AND(AO10&lt;TODAY(),Table1[[#This Row],[Payment Status]]="Pending"),"Past Due", "OK")</f>
        <v>OK</v>
      </c>
      <c r="AR10" s="178"/>
    </row>
    <row r="11" spans="1:44">
      <c r="A11" s="173">
        <v>45589</v>
      </c>
      <c r="B11" s="174" t="s">
        <v>63</v>
      </c>
      <c r="C11" s="278" t="s">
        <v>106</v>
      </c>
      <c r="D11" s="174"/>
      <c r="E11" s="174"/>
      <c r="F11" s="174"/>
      <c r="G11" s="176" t="s">
        <v>107</v>
      </c>
      <c r="H11" s="177" t="s">
        <v>108</v>
      </c>
      <c r="I11" s="177" t="s">
        <v>109</v>
      </c>
      <c r="J11" s="177" t="s">
        <v>49</v>
      </c>
      <c r="K11" s="177" t="s">
        <v>68</v>
      </c>
      <c r="L11" s="178">
        <v>4738</v>
      </c>
      <c r="M11" s="179">
        <v>1</v>
      </c>
      <c r="N11" s="178">
        <f>+Table1[[#This Row],[PO Amount]]</f>
        <v>4738</v>
      </c>
      <c r="O11" s="178">
        <v>0</v>
      </c>
      <c r="P11" s="178">
        <v>0</v>
      </c>
      <c r="Q11" s="178" t="s">
        <v>51</v>
      </c>
      <c r="R11" s="178"/>
      <c r="S11" s="178"/>
      <c r="T11" s="178"/>
      <c r="U11" s="178">
        <f>(Table1[[#This Row],[Invoice Date]]-Table1[[#This Row],[Month]])/7</f>
        <v>16.714285714285715</v>
      </c>
      <c r="V11" s="178"/>
      <c r="W11" s="178">
        <f t="shared" si="0"/>
        <v>0</v>
      </c>
      <c r="X11" s="178"/>
      <c r="Y11" s="178"/>
      <c r="Z11" s="178"/>
      <c r="AA11" s="178"/>
      <c r="AB11" s="178"/>
      <c r="AC11" s="178"/>
      <c r="AD11" s="193"/>
      <c r="AE11" s="193"/>
      <c r="AF11" s="178"/>
      <c r="AG11" s="178" t="s">
        <v>52</v>
      </c>
      <c r="AH11" s="179">
        <v>1</v>
      </c>
      <c r="AI11" s="193">
        <v>1149</v>
      </c>
      <c r="AJ11" s="178" t="s">
        <v>93</v>
      </c>
      <c r="AK11" s="178">
        <f>+Table1[[#This Row],[PO Amount]]</f>
        <v>4738</v>
      </c>
      <c r="AL11" s="244">
        <v>45706</v>
      </c>
      <c r="AM11" s="215">
        <f>(Table1[[#This Row],[Invoice Date]]-Table1[[#This Row],[Month]])/7</f>
        <v>16.714285714285715</v>
      </c>
      <c r="AN11" s="229">
        <v>30</v>
      </c>
      <c r="AO11" s="263">
        <f t="shared" si="3"/>
        <v>45736</v>
      </c>
      <c r="AP11" s="178" t="s">
        <v>94</v>
      </c>
      <c r="AQ11" s="201" t="str">
        <f ca="1">IF(AND(AO11&lt;TODAY(),Table1[[#This Row],[Payment Status]]="Pending"),"Past Due", "OK")</f>
        <v>OK</v>
      </c>
      <c r="AR11" s="178"/>
    </row>
    <row r="12" spans="1:44" ht="25.5">
      <c r="A12" s="173">
        <v>45590</v>
      </c>
      <c r="B12" s="174" t="s">
        <v>63</v>
      </c>
      <c r="C12" s="278" t="s">
        <v>110</v>
      </c>
      <c r="D12" s="174"/>
      <c r="E12" s="174"/>
      <c r="F12" s="174"/>
      <c r="G12" s="176" t="s">
        <v>111</v>
      </c>
      <c r="H12" s="177" t="s">
        <v>112</v>
      </c>
      <c r="I12" s="177" t="s">
        <v>113</v>
      </c>
      <c r="J12" s="177" t="s">
        <v>3</v>
      </c>
      <c r="K12" s="177" t="s">
        <v>92</v>
      </c>
      <c r="L12" s="178">
        <v>49037.98</v>
      </c>
      <c r="M12" s="179">
        <f>Table1[[#This Row],[Quoted Rev]]/Table1[[#This Row],[PO Amount]]</f>
        <v>0.19103050329560883</v>
      </c>
      <c r="N12" s="178">
        <v>9367.75</v>
      </c>
      <c r="O12" s="178">
        <f>+Table1[[#This Row],[PO Amount]]-Table1[[#This Row],[Quoted Rev]]</f>
        <v>39670.230000000003</v>
      </c>
      <c r="P12" s="178">
        <v>0</v>
      </c>
      <c r="Q12" s="178" t="s">
        <v>51</v>
      </c>
      <c r="R12" s="178"/>
      <c r="S12" s="178"/>
      <c r="T12" s="178"/>
      <c r="U12" s="178">
        <f>(Table1[[#This Row],[Invoice Date]]-Table1[[#This Row],[Month]])/7</f>
        <v>12.428571428571429</v>
      </c>
      <c r="V12" s="178"/>
      <c r="W12" s="178">
        <f t="shared" si="0"/>
        <v>0</v>
      </c>
      <c r="X12" s="178"/>
      <c r="Y12" s="178"/>
      <c r="Z12" s="178"/>
      <c r="AA12" s="178"/>
      <c r="AB12" s="178"/>
      <c r="AC12" s="178"/>
      <c r="AD12" s="193"/>
      <c r="AE12" s="193"/>
      <c r="AF12" s="178"/>
      <c r="AG12" s="178" t="s">
        <v>52</v>
      </c>
      <c r="AH12" s="179">
        <v>1</v>
      </c>
      <c r="AI12" s="193">
        <v>1143</v>
      </c>
      <c r="AJ12" s="178" t="s">
        <v>93</v>
      </c>
      <c r="AK12" s="178">
        <f>+Table1[[#This Row],[PO Amount]]</f>
        <v>49037.98</v>
      </c>
      <c r="AL12" s="244">
        <v>45677</v>
      </c>
      <c r="AM12" s="215">
        <f>(Table1[[#This Row],[Invoice Date]]-Table1[[#This Row],[Month]])/7</f>
        <v>12.428571428571429</v>
      </c>
      <c r="AN12" s="229">
        <v>30</v>
      </c>
      <c r="AO12" s="263">
        <f t="shared" si="3"/>
        <v>45707</v>
      </c>
      <c r="AP12" s="178" t="s">
        <v>94</v>
      </c>
      <c r="AQ12" s="201" t="str">
        <f ca="1">IF(AND(AO12&lt;TODAY(),Table1[[#This Row],[Payment Status]]="Pending"),"Past Due", "OK")</f>
        <v>OK</v>
      </c>
      <c r="AR12" s="178"/>
    </row>
    <row r="13" spans="1:44" ht="25.5">
      <c r="A13" s="173">
        <v>45593</v>
      </c>
      <c r="B13" s="174" t="s">
        <v>63</v>
      </c>
      <c r="C13" s="278" t="s">
        <v>114</v>
      </c>
      <c r="D13" s="174"/>
      <c r="E13" s="174"/>
      <c r="F13" s="174"/>
      <c r="G13" s="176" t="s">
        <v>115</v>
      </c>
      <c r="H13" s="177" t="s">
        <v>112</v>
      </c>
      <c r="I13" s="177" t="s">
        <v>113</v>
      </c>
      <c r="J13" s="177" t="s">
        <v>3</v>
      </c>
      <c r="K13" s="177" t="s">
        <v>92</v>
      </c>
      <c r="L13" s="178">
        <v>45983.63</v>
      </c>
      <c r="M13" s="179">
        <f>Table1[[#This Row],[Quoted Rev]]/Table1[[#This Row],[PO Amount]]</f>
        <v>0.2005881223383191</v>
      </c>
      <c r="N13" s="178">
        <v>9223.77</v>
      </c>
      <c r="O13" s="178">
        <f>+Table1[[#This Row],[PO Amount]]-Table1[[#This Row],[Quoted Rev]]</f>
        <v>36759.86</v>
      </c>
      <c r="P13" s="178">
        <v>0</v>
      </c>
      <c r="Q13" s="178" t="s">
        <v>51</v>
      </c>
      <c r="R13" s="178"/>
      <c r="S13" s="178"/>
      <c r="T13" s="178"/>
      <c r="U13" s="178">
        <f>(Table1[[#This Row],[Invoice Date]]-Table1[[#This Row],[Month]])/7</f>
        <v>11.285714285714286</v>
      </c>
      <c r="V13" s="178"/>
      <c r="W13" s="178">
        <f t="shared" si="0"/>
        <v>0</v>
      </c>
      <c r="X13" s="178"/>
      <c r="Y13" s="178"/>
      <c r="Z13" s="178"/>
      <c r="AA13" s="178"/>
      <c r="AB13" s="178"/>
      <c r="AC13" s="178"/>
      <c r="AD13" s="193"/>
      <c r="AE13" s="193"/>
      <c r="AF13" s="178"/>
      <c r="AG13" s="178" t="s">
        <v>52</v>
      </c>
      <c r="AH13" s="179">
        <v>1</v>
      </c>
      <c r="AI13" s="193">
        <v>1138</v>
      </c>
      <c r="AJ13" s="178" t="s">
        <v>93</v>
      </c>
      <c r="AK13" s="178">
        <f>+Table1[[#This Row],[PO Amount]]</f>
        <v>45983.63</v>
      </c>
      <c r="AL13" s="244">
        <v>45672</v>
      </c>
      <c r="AM13" s="215">
        <f>(Table1[[#This Row],[Invoice Date]]-Table1[[#This Row],[Month]])/7</f>
        <v>11.285714285714286</v>
      </c>
      <c r="AN13" s="229">
        <v>30</v>
      </c>
      <c r="AO13" s="263">
        <f t="shared" si="3"/>
        <v>45702</v>
      </c>
      <c r="AP13" s="178" t="s">
        <v>94</v>
      </c>
      <c r="AQ13" s="201" t="str">
        <f ca="1">IF(AND(AO13&lt;TODAY(),Table1[[#This Row],[Payment Status]]="Pending"),"Past Due", "OK")</f>
        <v>OK</v>
      </c>
      <c r="AR13" s="178"/>
    </row>
    <row r="14" spans="1:44" ht="25.5">
      <c r="A14" s="173">
        <v>45600</v>
      </c>
      <c r="B14" s="174" t="s">
        <v>63</v>
      </c>
      <c r="C14" s="278" t="s">
        <v>116</v>
      </c>
      <c r="D14" s="174"/>
      <c r="E14" s="174"/>
      <c r="F14" s="174"/>
      <c r="G14" s="176" t="s">
        <v>117</v>
      </c>
      <c r="H14" s="177" t="s">
        <v>112</v>
      </c>
      <c r="I14" s="177" t="s">
        <v>113</v>
      </c>
      <c r="J14" s="177" t="s">
        <v>3</v>
      </c>
      <c r="K14" s="177" t="s">
        <v>92</v>
      </c>
      <c r="L14" s="178">
        <v>49854.92</v>
      </c>
      <c r="M14" s="179">
        <f>Table1[[#This Row],[Quoted Rev]]/Table1[[#This Row],[PO Amount]]</f>
        <v>0.19633528646721329</v>
      </c>
      <c r="N14" s="178">
        <v>9788.2800000000007</v>
      </c>
      <c r="O14" s="178">
        <f>+Table1[[#This Row],[PO Amount]]-Table1[[#This Row],[Quoted Rev]]</f>
        <v>40066.639999999999</v>
      </c>
      <c r="P14" s="178">
        <v>0</v>
      </c>
      <c r="Q14" s="178" t="s">
        <v>51</v>
      </c>
      <c r="R14" s="178"/>
      <c r="S14" s="178"/>
      <c r="T14" s="178"/>
      <c r="U14" s="178">
        <f>(Table1[[#This Row],[Invoice Date]]-Table1[[#This Row],[Month]])/7</f>
        <v>10.285714285714286</v>
      </c>
      <c r="V14" s="178"/>
      <c r="W14" s="178">
        <f t="shared" si="0"/>
        <v>0</v>
      </c>
      <c r="X14" s="178"/>
      <c r="Y14" s="178"/>
      <c r="Z14" s="178"/>
      <c r="AA14" s="178"/>
      <c r="AB14" s="178"/>
      <c r="AC14" s="178"/>
      <c r="AD14" s="193"/>
      <c r="AE14" s="193"/>
      <c r="AF14" s="178"/>
      <c r="AG14" s="178" t="s">
        <v>52</v>
      </c>
      <c r="AH14" s="179">
        <v>1</v>
      </c>
      <c r="AI14" s="193">
        <v>1134</v>
      </c>
      <c r="AJ14" s="178" t="s">
        <v>93</v>
      </c>
      <c r="AK14" s="178">
        <f>+Table1[[#This Row],[PO Amount]]</f>
        <v>49854.92</v>
      </c>
      <c r="AL14" s="244">
        <v>45672</v>
      </c>
      <c r="AM14" s="215">
        <f>(Table1[[#This Row],[Invoice Date]]-Table1[[#This Row],[Month]])/7</f>
        <v>10.285714285714286</v>
      </c>
      <c r="AN14" s="229">
        <v>30</v>
      </c>
      <c r="AO14" s="263">
        <f t="shared" si="3"/>
        <v>45702</v>
      </c>
      <c r="AP14" s="178" t="s">
        <v>94</v>
      </c>
      <c r="AQ14" s="201" t="str">
        <f ca="1">IF(AND(AO14&lt;TODAY(),Table1[[#This Row],[Payment Status]]="Pending"),"Past Due", "OK")</f>
        <v>OK</v>
      </c>
      <c r="AR14" s="178"/>
    </row>
    <row r="15" spans="1:44">
      <c r="A15" s="173">
        <v>45575</v>
      </c>
      <c r="B15" s="174" t="s">
        <v>44</v>
      </c>
      <c r="C15" s="278" t="s">
        <v>118</v>
      </c>
      <c r="D15" s="174"/>
      <c r="E15" s="174"/>
      <c r="F15" s="174"/>
      <c r="G15" s="176" t="s">
        <v>119</v>
      </c>
      <c r="H15" s="177" t="s">
        <v>108</v>
      </c>
      <c r="I15" s="177" t="s">
        <v>109</v>
      </c>
      <c r="J15" s="177" t="s">
        <v>49</v>
      </c>
      <c r="K15" s="177" t="s">
        <v>101</v>
      </c>
      <c r="L15" s="178">
        <v>42634.3</v>
      </c>
      <c r="M15" s="179">
        <f>Table1[[#This Row],[Quoted Rev]]/Table1[[#This Row],[PO Amount]]</f>
        <v>0.3166696767626066</v>
      </c>
      <c r="N15" s="178">
        <v>13500.99</v>
      </c>
      <c r="O15" s="178">
        <f>+Table1[[#This Row],[PO Amount]]-Table1[[#This Row],[Quoted Rev]]</f>
        <v>29133.310000000005</v>
      </c>
      <c r="P15" s="178">
        <v>0</v>
      </c>
      <c r="Q15" s="178" t="s">
        <v>51</v>
      </c>
      <c r="R15" s="178"/>
      <c r="S15" s="178"/>
      <c r="T15" s="178"/>
      <c r="U15" s="178">
        <f>(Table1[[#This Row],[Invoice Date]]-Table1[[#This Row],[Month]])/7</f>
        <v>57.142857142857146</v>
      </c>
      <c r="V15" s="178"/>
      <c r="W15" s="178">
        <f t="shared" si="0"/>
        <v>0</v>
      </c>
      <c r="X15" s="178"/>
      <c r="Y15" s="178"/>
      <c r="Z15" s="178"/>
      <c r="AA15" s="178"/>
      <c r="AB15" s="178"/>
      <c r="AC15" s="178"/>
      <c r="AD15" s="193"/>
      <c r="AE15" s="193"/>
      <c r="AF15" s="178"/>
      <c r="AG15" s="178" t="s">
        <v>52</v>
      </c>
      <c r="AH15" s="179">
        <v>1</v>
      </c>
      <c r="AI15" s="193"/>
      <c r="AJ15" s="178" t="s">
        <v>53</v>
      </c>
      <c r="AK15" s="178">
        <f>+Table1[[#This Row],[PO Amount]]</f>
        <v>42634.3</v>
      </c>
      <c r="AL15" s="244">
        <v>45975</v>
      </c>
      <c r="AM15" s="215">
        <f>(Table1[[#This Row],[Invoice Date]]-Table1[[#This Row],[Month]])/7</f>
        <v>57.142857142857146</v>
      </c>
      <c r="AN15" s="229">
        <v>30</v>
      </c>
      <c r="AO15" s="263">
        <f t="shared" si="3"/>
        <v>46005</v>
      </c>
      <c r="AP15" s="178" t="s">
        <v>53</v>
      </c>
      <c r="AQ15" s="201" t="str">
        <f ca="1">IF(AND(AO15&lt;TODAY(),Table1[[#This Row],[Payment Status]]="Pending"),"Past Due", "OK")</f>
        <v>OK</v>
      </c>
      <c r="AR15" s="220">
        <v>45922</v>
      </c>
    </row>
    <row r="16" spans="1:44">
      <c r="A16" s="173">
        <v>45593</v>
      </c>
      <c r="B16" s="174" t="s">
        <v>63</v>
      </c>
      <c r="C16" s="278" t="s">
        <v>120</v>
      </c>
      <c r="D16" s="174"/>
      <c r="E16" s="174"/>
      <c r="F16" s="174"/>
      <c r="G16" s="176" t="s">
        <v>121</v>
      </c>
      <c r="H16" s="177" t="s">
        <v>122</v>
      </c>
      <c r="I16" s="177" t="s">
        <v>123</v>
      </c>
      <c r="J16" s="177" t="s">
        <v>49</v>
      </c>
      <c r="K16" s="177" t="s">
        <v>92</v>
      </c>
      <c r="L16" s="178">
        <v>27808.31</v>
      </c>
      <c r="M16" s="179">
        <f>Table1[[#This Row],[Quoted Rev]]/Table1[[#This Row],[PO Amount]]</f>
        <v>0.32370108072011566</v>
      </c>
      <c r="N16" s="178">
        <v>9001.58</v>
      </c>
      <c r="O16" s="178">
        <f>+Table1[[#This Row],[PO Amount]]-Table1[[#This Row],[Quoted Rev]]</f>
        <v>18806.730000000003</v>
      </c>
      <c r="P16" s="178">
        <v>0</v>
      </c>
      <c r="Q16" s="178" t="s">
        <v>51</v>
      </c>
      <c r="R16" s="178"/>
      <c r="S16" s="178"/>
      <c r="T16" s="178"/>
      <c r="U16" s="178">
        <f>(Table1[[#This Row],[Invoice Date]]-Table1[[#This Row],[Month]])/7</f>
        <v>13.571428571428571</v>
      </c>
      <c r="V16" s="178"/>
      <c r="W16" s="178">
        <f t="shared" si="0"/>
        <v>0</v>
      </c>
      <c r="X16" s="178"/>
      <c r="Y16" s="178"/>
      <c r="Z16" s="178"/>
      <c r="AA16" s="178"/>
      <c r="AB16" s="178"/>
      <c r="AC16" s="178"/>
      <c r="AD16" s="193"/>
      <c r="AE16" s="193"/>
      <c r="AF16" s="178"/>
      <c r="AG16" s="178" t="s">
        <v>52</v>
      </c>
      <c r="AH16" s="179">
        <v>1</v>
      </c>
      <c r="AI16" s="193">
        <v>1145</v>
      </c>
      <c r="AJ16" s="178" t="s">
        <v>93</v>
      </c>
      <c r="AK16" s="178">
        <f>+Table1[[#This Row],[PO Amount]]</f>
        <v>27808.31</v>
      </c>
      <c r="AL16" s="244">
        <v>45688</v>
      </c>
      <c r="AM16" s="215">
        <f>(Table1[[#This Row],[Invoice Date]]-Table1[[#This Row],[Month]])/7</f>
        <v>13.571428571428571</v>
      </c>
      <c r="AN16" s="229">
        <v>30</v>
      </c>
      <c r="AO16" s="263">
        <f t="shared" si="3"/>
        <v>45718</v>
      </c>
      <c r="AP16" s="178" t="s">
        <v>94</v>
      </c>
      <c r="AQ16" s="201" t="str">
        <f ca="1">IF(AND(AO16&lt;TODAY(),Table1[[#This Row],[Payment Status]]="Pending"),"Past Due", "OK")</f>
        <v>OK</v>
      </c>
      <c r="AR16" s="178"/>
    </row>
    <row r="17" spans="1:44" ht="38.25">
      <c r="A17" s="173">
        <v>45606</v>
      </c>
      <c r="B17" s="174" t="s">
        <v>63</v>
      </c>
      <c r="C17" s="279"/>
      <c r="D17" s="174"/>
      <c r="E17" s="174"/>
      <c r="F17" s="174"/>
      <c r="G17" s="176" t="s">
        <v>124</v>
      </c>
      <c r="H17" s="177" t="s">
        <v>47</v>
      </c>
      <c r="I17" s="177" t="s">
        <v>91</v>
      </c>
      <c r="J17" s="177" t="s">
        <v>49</v>
      </c>
      <c r="K17" s="177" t="s">
        <v>92</v>
      </c>
      <c r="L17" s="178">
        <v>2600</v>
      </c>
      <c r="M17" s="179">
        <f>Table1[[#This Row],[Quoted Rev]]/Table1[[#This Row],[PO Amount]]</f>
        <v>0.3</v>
      </c>
      <c r="N17" s="178">
        <f>+Table1[[#This Row],[PO Amount]]*0.3</f>
        <v>780</v>
      </c>
      <c r="O17" s="178">
        <f>+Table1[[#This Row],[PO Amount]]-Table1[[#This Row],[Quoted Rev]]</f>
        <v>1820</v>
      </c>
      <c r="P17" s="178">
        <v>0</v>
      </c>
      <c r="Q17" s="178" t="s">
        <v>51</v>
      </c>
      <c r="R17" s="178"/>
      <c r="S17" s="178"/>
      <c r="T17" s="178"/>
      <c r="U17" s="178">
        <f>(Table1[[#This Row],[Invoice Date]]-Table1[[#This Row],[Month]])/7</f>
        <v>48.428571428571431</v>
      </c>
      <c r="V17" s="178"/>
      <c r="W17" s="178">
        <f t="shared" si="0"/>
        <v>0</v>
      </c>
      <c r="X17" s="178"/>
      <c r="Y17" s="178"/>
      <c r="Z17" s="178"/>
      <c r="AA17" s="178"/>
      <c r="AB17" s="178"/>
      <c r="AC17" s="178"/>
      <c r="AD17" s="193"/>
      <c r="AE17" s="193"/>
      <c r="AF17" s="178"/>
      <c r="AG17" s="178" t="s">
        <v>52</v>
      </c>
      <c r="AH17" s="179">
        <v>1</v>
      </c>
      <c r="AI17" s="193"/>
      <c r="AJ17" s="178" t="s">
        <v>53</v>
      </c>
      <c r="AK17" s="178">
        <f>+Table1[[#This Row],[PO Amount]]</f>
        <v>2600</v>
      </c>
      <c r="AL17" s="244">
        <v>45945</v>
      </c>
      <c r="AM17" s="215">
        <f>(Table1[[#This Row],[Invoice Date]]-Table1[[#This Row],[Month]])/7</f>
        <v>48.428571428571431</v>
      </c>
      <c r="AN17" s="229">
        <v>30</v>
      </c>
      <c r="AO17" s="263">
        <f t="shared" si="3"/>
        <v>45975</v>
      </c>
      <c r="AP17" s="178" t="s">
        <v>53</v>
      </c>
      <c r="AQ17" s="201" t="str">
        <f ca="1">IF(AND(AO17&lt;TODAY(),Table1[[#This Row],[Payment Status]]="Pending"),"Past Due", "OK")</f>
        <v>OK</v>
      </c>
      <c r="AR17" s="220"/>
    </row>
    <row r="18" spans="1:44" ht="25.5">
      <c r="A18" s="173">
        <v>45606</v>
      </c>
      <c r="B18" s="174" t="s">
        <v>63</v>
      </c>
      <c r="C18" s="279"/>
      <c r="D18" s="174"/>
      <c r="E18" s="174"/>
      <c r="F18" s="174"/>
      <c r="G18" s="176" t="s">
        <v>125</v>
      </c>
      <c r="H18" s="177" t="s">
        <v>47</v>
      </c>
      <c r="I18" s="177" t="s">
        <v>91</v>
      </c>
      <c r="J18" s="177" t="s">
        <v>49</v>
      </c>
      <c r="K18" s="177" t="s">
        <v>92</v>
      </c>
      <c r="L18" s="178">
        <v>4155</v>
      </c>
      <c r="M18" s="179">
        <f>Table1[[#This Row],[Quoted Rev]]/Table1[[#This Row],[PO Amount]]</f>
        <v>0.3</v>
      </c>
      <c r="N18" s="178">
        <f>+Table1[[#This Row],[PO Amount]]*0.3</f>
        <v>1246.5</v>
      </c>
      <c r="O18" s="178">
        <f>+Table1[[#This Row],[PO Amount]]-Table1[[#This Row],[Quoted Rev]]</f>
        <v>2908.5</v>
      </c>
      <c r="P18" s="178">
        <v>0</v>
      </c>
      <c r="Q18" s="178" t="s">
        <v>51</v>
      </c>
      <c r="R18" s="178"/>
      <c r="S18" s="178"/>
      <c r="T18" s="178"/>
      <c r="U18" s="178">
        <f>(Table1[[#This Row],[Invoice Date]]-Table1[[#This Row],[Month]])/7</f>
        <v>48.428571428571431</v>
      </c>
      <c r="V18" s="178"/>
      <c r="W18" s="178">
        <f t="shared" si="0"/>
        <v>0</v>
      </c>
      <c r="X18" s="178"/>
      <c r="Y18" s="178"/>
      <c r="Z18" s="178"/>
      <c r="AA18" s="178"/>
      <c r="AB18" s="178"/>
      <c r="AC18" s="178"/>
      <c r="AD18" s="193"/>
      <c r="AE18" s="193"/>
      <c r="AF18" s="178"/>
      <c r="AG18" s="178" t="s">
        <v>52</v>
      </c>
      <c r="AH18" s="179">
        <v>1</v>
      </c>
      <c r="AI18" s="193"/>
      <c r="AJ18" s="178" t="s">
        <v>53</v>
      </c>
      <c r="AK18" s="178">
        <f>+Table1[[#This Row],[PO Amount]]</f>
        <v>4155</v>
      </c>
      <c r="AL18" s="244">
        <v>45945</v>
      </c>
      <c r="AM18" s="215">
        <f>(Table1[[#This Row],[Invoice Date]]-Table1[[#This Row],[Month]])/7</f>
        <v>48.428571428571431</v>
      </c>
      <c r="AN18" s="229">
        <v>30</v>
      </c>
      <c r="AO18" s="263">
        <f t="shared" si="3"/>
        <v>45975</v>
      </c>
      <c r="AP18" s="178" t="s">
        <v>53</v>
      </c>
      <c r="AQ18" s="201" t="str">
        <f ca="1">IF(AND(AO18&lt;TODAY(),Table1[[#This Row],[Payment Status]]="Pending"),"Past Due", "OK")</f>
        <v>OK</v>
      </c>
      <c r="AR18" s="220"/>
    </row>
    <row r="19" spans="1:44" ht="38.25">
      <c r="A19" s="173">
        <v>45597</v>
      </c>
      <c r="B19" s="174" t="s">
        <v>63</v>
      </c>
      <c r="C19" s="279"/>
      <c r="D19" s="174"/>
      <c r="E19" s="174"/>
      <c r="F19" s="174"/>
      <c r="G19" s="176" t="s">
        <v>126</v>
      </c>
      <c r="H19" s="177" t="s">
        <v>47</v>
      </c>
      <c r="I19" s="177" t="s">
        <v>91</v>
      </c>
      <c r="J19" s="177" t="s">
        <v>49</v>
      </c>
      <c r="K19" s="177" t="s">
        <v>68</v>
      </c>
      <c r="L19" s="178">
        <v>9691</v>
      </c>
      <c r="M19" s="179">
        <f>Table1[[#This Row],[Quoted Rev]]/Table1[[#This Row],[PO Amount]]</f>
        <v>0.2228459395315241</v>
      </c>
      <c r="N19" s="178">
        <v>2159.6</v>
      </c>
      <c r="O19" s="178">
        <f>+Table1[[#This Row],[PO Amount]]-Table1[[#This Row],[Quoted Rev]]</f>
        <v>7531.4</v>
      </c>
      <c r="P19" s="178">
        <v>0</v>
      </c>
      <c r="Q19" s="178" t="s">
        <v>51</v>
      </c>
      <c r="R19" s="178"/>
      <c r="S19" s="178"/>
      <c r="T19" s="178"/>
      <c r="U19" s="178">
        <f>(Table1[[#This Row],[Invoice Date]]-Table1[[#This Row],[Month]])/7</f>
        <v>23.571428571428573</v>
      </c>
      <c r="V19" s="178"/>
      <c r="W19" s="178">
        <f t="shared" si="0"/>
        <v>0</v>
      </c>
      <c r="X19" s="178"/>
      <c r="Y19" s="178"/>
      <c r="Z19" s="178"/>
      <c r="AA19" s="178"/>
      <c r="AB19" s="178"/>
      <c r="AC19" s="178"/>
      <c r="AD19" s="193"/>
      <c r="AE19" s="193"/>
      <c r="AF19" s="178"/>
      <c r="AG19" s="178" t="s">
        <v>52</v>
      </c>
      <c r="AH19" s="179">
        <v>1</v>
      </c>
      <c r="AI19" s="193">
        <v>1158</v>
      </c>
      <c r="AJ19" s="178" t="s">
        <v>93</v>
      </c>
      <c r="AK19" s="178">
        <f>+Table1[[#This Row],[PO Amount]]</f>
        <v>9691</v>
      </c>
      <c r="AL19" s="244">
        <v>45762</v>
      </c>
      <c r="AM19" s="215">
        <f>(Table1[[#This Row],[Invoice Date]]-Table1[[#This Row],[Month]])/7</f>
        <v>23.571428571428573</v>
      </c>
      <c r="AN19" s="229">
        <v>30</v>
      </c>
      <c r="AO19" s="263">
        <f t="shared" si="3"/>
        <v>45792</v>
      </c>
      <c r="AP19" s="178" t="s">
        <v>94</v>
      </c>
      <c r="AQ19" s="201" t="str">
        <f ca="1">IF(AND(AO19&lt;TODAY(),Table1[[#This Row],[Payment Status]]="Pending"),"Past Due", "OK")</f>
        <v>OK</v>
      </c>
      <c r="AR19" s="178"/>
    </row>
    <row r="20" spans="1:44">
      <c r="A20" s="173">
        <v>45611</v>
      </c>
      <c r="B20" s="174" t="s">
        <v>63</v>
      </c>
      <c r="C20" s="278" t="s">
        <v>127</v>
      </c>
      <c r="D20" s="174"/>
      <c r="E20" s="174"/>
      <c r="F20" s="174"/>
      <c r="G20" s="176" t="s">
        <v>128</v>
      </c>
      <c r="H20" s="177" t="s">
        <v>122</v>
      </c>
      <c r="I20" s="177" t="s">
        <v>123</v>
      </c>
      <c r="J20" s="177" t="s">
        <v>49</v>
      </c>
      <c r="K20" s="177" t="s">
        <v>92</v>
      </c>
      <c r="L20" s="178">
        <v>24848.73</v>
      </c>
      <c r="M20" s="179">
        <f>Table1[[#This Row],[Quoted Rev]]/Table1[[#This Row],[PO Amount]]</f>
        <v>0.3265832901721738</v>
      </c>
      <c r="N20" s="178">
        <v>8115.18</v>
      </c>
      <c r="O20" s="178">
        <f>+Table1[[#This Row],[PO Amount]]-Table1[[#This Row],[Quoted Rev]]</f>
        <v>16733.55</v>
      </c>
      <c r="P20" s="178">
        <v>0</v>
      </c>
      <c r="Q20" s="178" t="s">
        <v>51</v>
      </c>
      <c r="R20" s="178"/>
      <c r="S20" s="178"/>
      <c r="T20" s="178"/>
      <c r="U20" s="178">
        <f>(Table1[[#This Row],[Invoice Date]]-Table1[[#This Row],[Month]])/7</f>
        <v>12.428571428571429</v>
      </c>
      <c r="V20" s="178"/>
      <c r="W20" s="178">
        <f t="shared" si="0"/>
        <v>0</v>
      </c>
      <c r="X20" s="178"/>
      <c r="Y20" s="178"/>
      <c r="Z20" s="178"/>
      <c r="AA20" s="178"/>
      <c r="AB20" s="178"/>
      <c r="AC20" s="178"/>
      <c r="AD20" s="193"/>
      <c r="AE20" s="193"/>
      <c r="AF20" s="178"/>
      <c r="AG20" s="178" t="s">
        <v>52</v>
      </c>
      <c r="AH20" s="179">
        <v>1</v>
      </c>
      <c r="AI20" s="193">
        <v>1146</v>
      </c>
      <c r="AJ20" s="178" t="s">
        <v>93</v>
      </c>
      <c r="AK20" s="178">
        <f>+Table1[[#This Row],[PO Amount]]</f>
        <v>24848.73</v>
      </c>
      <c r="AL20" s="244">
        <v>45698</v>
      </c>
      <c r="AM20" s="215">
        <f>(Table1[[#This Row],[Invoice Date]]-Table1[[#This Row],[Month]])/7</f>
        <v>12.428571428571429</v>
      </c>
      <c r="AN20" s="229">
        <v>30</v>
      </c>
      <c r="AO20" s="263">
        <f t="shared" si="3"/>
        <v>45728</v>
      </c>
      <c r="AP20" s="178" t="s">
        <v>94</v>
      </c>
      <c r="AQ20" s="201" t="str">
        <f ca="1">IF(AND(AO20&lt;TODAY(),Table1[[#This Row],[Payment Status]]="Pending"),"Past Due", "OK")</f>
        <v>OK</v>
      </c>
      <c r="AR20" s="178"/>
    </row>
    <row r="21" spans="1:44">
      <c r="A21" s="173">
        <v>45611</v>
      </c>
      <c r="B21" s="174" t="s">
        <v>63</v>
      </c>
      <c r="C21" s="278" t="s">
        <v>129</v>
      </c>
      <c r="D21" s="174"/>
      <c r="E21" s="174"/>
      <c r="F21" s="174"/>
      <c r="G21" s="176" t="s">
        <v>130</v>
      </c>
      <c r="H21" s="177" t="s">
        <v>122</v>
      </c>
      <c r="I21" s="177" t="s">
        <v>123</v>
      </c>
      <c r="J21" s="177" t="s">
        <v>49</v>
      </c>
      <c r="K21" s="177" t="s">
        <v>92</v>
      </c>
      <c r="L21" s="178">
        <v>18192.28</v>
      </c>
      <c r="M21" s="179">
        <f>Table1[[#This Row],[Quoted Rev]]/Table1[[#This Row],[PO Amount]]</f>
        <v>0.30214354660328452</v>
      </c>
      <c r="N21" s="178">
        <v>5496.68</v>
      </c>
      <c r="O21" s="178">
        <f>+Table1[[#This Row],[PO Amount]]-Table1[[#This Row],[Quoted Rev]]</f>
        <v>12695.599999999999</v>
      </c>
      <c r="P21" s="178">
        <v>0</v>
      </c>
      <c r="Q21" s="178" t="s">
        <v>51</v>
      </c>
      <c r="R21" s="178"/>
      <c r="S21" s="178"/>
      <c r="T21" s="178"/>
      <c r="U21" s="178">
        <f>(Table1[[#This Row],[Invoice Date]]-Table1[[#This Row],[Month]])/7</f>
        <v>11.285714285714286</v>
      </c>
      <c r="V21" s="178"/>
      <c r="W21" s="178">
        <f t="shared" si="0"/>
        <v>0</v>
      </c>
      <c r="X21" s="178"/>
      <c r="Y21" s="178"/>
      <c r="Z21" s="178"/>
      <c r="AA21" s="178"/>
      <c r="AB21" s="178"/>
      <c r="AC21" s="178"/>
      <c r="AD21" s="193"/>
      <c r="AE21" s="193"/>
      <c r="AF21" s="178"/>
      <c r="AG21" s="178" t="s">
        <v>52</v>
      </c>
      <c r="AH21" s="179">
        <v>1</v>
      </c>
      <c r="AI21" s="193">
        <v>1140</v>
      </c>
      <c r="AJ21" s="178" t="s">
        <v>93</v>
      </c>
      <c r="AK21" s="178">
        <f>+Table1[[#This Row],[PO Amount]]</f>
        <v>18192.28</v>
      </c>
      <c r="AL21" s="244">
        <v>45690</v>
      </c>
      <c r="AM21" s="215">
        <f>(Table1[[#This Row],[Invoice Date]]-Table1[[#This Row],[Month]])/7</f>
        <v>11.285714285714286</v>
      </c>
      <c r="AN21" s="229">
        <v>30</v>
      </c>
      <c r="AO21" s="263">
        <f t="shared" si="3"/>
        <v>45720</v>
      </c>
      <c r="AP21" s="178" t="s">
        <v>94</v>
      </c>
      <c r="AQ21" s="201" t="str">
        <f ca="1">IF(AND(AO21&lt;TODAY(),Table1[[#This Row],[Payment Status]]="Pending"),"Past Due", "OK")</f>
        <v>OK</v>
      </c>
      <c r="AR21" s="178"/>
    </row>
    <row r="22" spans="1:44">
      <c r="A22" s="173">
        <v>45611</v>
      </c>
      <c r="B22" s="174" t="s">
        <v>63</v>
      </c>
      <c r="C22" s="278" t="s">
        <v>131</v>
      </c>
      <c r="D22" s="174"/>
      <c r="E22" s="174"/>
      <c r="F22" s="174"/>
      <c r="G22" s="176" t="s">
        <v>132</v>
      </c>
      <c r="H22" s="177" t="s">
        <v>122</v>
      </c>
      <c r="I22" s="177" t="s">
        <v>123</v>
      </c>
      <c r="J22" s="177" t="s">
        <v>49</v>
      </c>
      <c r="K22" s="177" t="s">
        <v>92</v>
      </c>
      <c r="L22" s="178">
        <v>26592.33</v>
      </c>
      <c r="M22" s="179">
        <f>Table1[[#This Row],[Quoted Rev]]/Table1[[#This Row],[PO Amount]]</f>
        <v>0.35873276241683222</v>
      </c>
      <c r="N22" s="178">
        <v>9539.5400000000009</v>
      </c>
      <c r="O22" s="178">
        <f>+Table1[[#This Row],[PO Amount]]-Table1[[#This Row],[Quoted Rev]]</f>
        <v>17052.79</v>
      </c>
      <c r="P22" s="178">
        <v>0</v>
      </c>
      <c r="Q22" s="178" t="s">
        <v>51</v>
      </c>
      <c r="R22" s="178"/>
      <c r="S22" s="178"/>
      <c r="T22" s="178"/>
      <c r="U22" s="178">
        <f>(Table1[[#This Row],[Invoice Date]]-Table1[[#This Row],[Month]])/7</f>
        <v>14.857142857142858</v>
      </c>
      <c r="V22" s="178"/>
      <c r="W22" s="178">
        <f t="shared" si="0"/>
        <v>0</v>
      </c>
      <c r="X22" s="178"/>
      <c r="Y22" s="178"/>
      <c r="Z22" s="178"/>
      <c r="AA22" s="178"/>
      <c r="AB22" s="178"/>
      <c r="AC22" s="178"/>
      <c r="AD22" s="193"/>
      <c r="AE22" s="193"/>
      <c r="AF22" s="178"/>
      <c r="AG22" s="178" t="s">
        <v>52</v>
      </c>
      <c r="AH22" s="179">
        <v>1</v>
      </c>
      <c r="AI22" s="193">
        <v>1151</v>
      </c>
      <c r="AJ22" s="178" t="s">
        <v>93</v>
      </c>
      <c r="AK22" s="178">
        <f>+Table1[[#This Row],[PO Amount]]</f>
        <v>26592.33</v>
      </c>
      <c r="AL22" s="244">
        <v>45715</v>
      </c>
      <c r="AM22" s="215">
        <f>(Table1[[#This Row],[Invoice Date]]-Table1[[#This Row],[Month]])/7</f>
        <v>14.857142857142858</v>
      </c>
      <c r="AN22" s="229">
        <v>30</v>
      </c>
      <c r="AO22" s="263">
        <f t="shared" si="3"/>
        <v>45745</v>
      </c>
      <c r="AP22" s="178" t="s">
        <v>94</v>
      </c>
      <c r="AQ22" s="201" t="str">
        <f ca="1">IF(AND(AO22&lt;TODAY(),Table1[[#This Row],[Payment Status]]="Pending"),"Past Due", "OK")</f>
        <v>OK</v>
      </c>
      <c r="AR22" s="178"/>
    </row>
    <row r="23" spans="1:44">
      <c r="A23" s="173">
        <v>45612</v>
      </c>
      <c r="B23" s="174" t="s">
        <v>63</v>
      </c>
      <c r="C23" s="278" t="s">
        <v>133</v>
      </c>
      <c r="D23" s="174"/>
      <c r="E23" s="174"/>
      <c r="F23" s="174"/>
      <c r="G23" s="176" t="s">
        <v>134</v>
      </c>
      <c r="H23" s="177" t="s">
        <v>108</v>
      </c>
      <c r="I23" s="177" t="s">
        <v>109</v>
      </c>
      <c r="J23" s="177" t="s">
        <v>49</v>
      </c>
      <c r="K23" s="177" t="s">
        <v>68</v>
      </c>
      <c r="L23" s="178">
        <v>68638.86</v>
      </c>
      <c r="M23" s="179">
        <f>Table1[[#This Row],[Quoted Rev]]/Table1[[#This Row],[PO Amount]]</f>
        <v>0.20915935958143825</v>
      </c>
      <c r="N23" s="178">
        <v>14356.46</v>
      </c>
      <c r="O23" s="178">
        <f>+Table1[[#This Row],[PO Amount]]-Table1[[#This Row],[Quoted Rev]]</f>
        <v>54282.400000000001</v>
      </c>
      <c r="P23" s="178">
        <v>0</v>
      </c>
      <c r="Q23" s="178" t="s">
        <v>51</v>
      </c>
      <c r="R23" s="178"/>
      <c r="S23" s="178"/>
      <c r="T23" s="178"/>
      <c r="U23" s="178">
        <f>(Table1[[#This Row],[Invoice Date]]-Table1[[#This Row],[Month]])/7</f>
        <v>15.571428571428571</v>
      </c>
      <c r="V23" s="178"/>
      <c r="W23" s="178">
        <f t="shared" si="0"/>
        <v>0</v>
      </c>
      <c r="X23" s="178"/>
      <c r="Y23" s="178"/>
      <c r="Z23" s="178"/>
      <c r="AA23" s="178"/>
      <c r="AB23" s="178"/>
      <c r="AC23" s="178"/>
      <c r="AD23" s="178"/>
      <c r="AE23" s="178"/>
      <c r="AF23" s="178"/>
      <c r="AG23" s="178" t="s">
        <v>52</v>
      </c>
      <c r="AH23" s="179">
        <v>1</v>
      </c>
      <c r="AI23" s="193">
        <v>1153</v>
      </c>
      <c r="AJ23" s="178" t="s">
        <v>93</v>
      </c>
      <c r="AK23" s="178">
        <f>+Table1[[#This Row],[PO Amount]]</f>
        <v>68638.86</v>
      </c>
      <c r="AL23" s="244">
        <v>45721</v>
      </c>
      <c r="AM23" s="215">
        <f>(Table1[[#This Row],[Invoice Date]]-Table1[[#This Row],[Month]])/7</f>
        <v>15.571428571428571</v>
      </c>
      <c r="AN23" s="229">
        <v>30</v>
      </c>
      <c r="AO23" s="263">
        <f t="shared" si="3"/>
        <v>45751</v>
      </c>
      <c r="AP23" s="178" t="s">
        <v>94</v>
      </c>
      <c r="AQ23" s="201" t="str">
        <f ca="1">IF(AND(AO23&lt;TODAY(),Table1[[#This Row],[Payment Status]]="Pending"),"Past Due", "OK")</f>
        <v>OK</v>
      </c>
      <c r="AR23" s="178"/>
    </row>
    <row r="24" spans="1:44" ht="25.5">
      <c r="A24" s="173">
        <v>45654</v>
      </c>
      <c r="B24" s="174" t="s">
        <v>63</v>
      </c>
      <c r="C24" s="278" t="s">
        <v>135</v>
      </c>
      <c r="D24" s="174"/>
      <c r="E24" s="174"/>
      <c r="F24" s="174"/>
      <c r="G24" s="176" t="s">
        <v>136</v>
      </c>
      <c r="H24" s="177" t="s">
        <v>137</v>
      </c>
      <c r="I24" s="177" t="s">
        <v>138</v>
      </c>
      <c r="J24" s="177" t="s">
        <v>3</v>
      </c>
      <c r="K24" s="177" t="s">
        <v>92</v>
      </c>
      <c r="L24" s="178">
        <v>42670.76</v>
      </c>
      <c r="M24" s="179"/>
      <c r="N24" s="178"/>
      <c r="O24" s="178"/>
      <c r="P24" s="178"/>
      <c r="Q24" s="178" t="s">
        <v>51</v>
      </c>
      <c r="R24" s="178"/>
      <c r="S24" s="178"/>
      <c r="T24" s="178"/>
      <c r="U24" s="178">
        <f>(Table1[[#This Row],[Invoice Date]]-Table1[[#This Row],[Month]])/7</f>
        <v>14.857142857142858</v>
      </c>
      <c r="V24" s="178"/>
      <c r="W24" s="178">
        <f t="shared" si="0"/>
        <v>0</v>
      </c>
      <c r="X24" s="178"/>
      <c r="Y24" s="178"/>
      <c r="Z24" s="178"/>
      <c r="AA24" s="178"/>
      <c r="AB24" s="178"/>
      <c r="AC24" s="178"/>
      <c r="AD24" s="193"/>
      <c r="AE24" s="193"/>
      <c r="AF24" s="178"/>
      <c r="AG24" s="178" t="s">
        <v>52</v>
      </c>
      <c r="AH24" s="179">
        <v>1</v>
      </c>
      <c r="AI24" s="193">
        <v>1163</v>
      </c>
      <c r="AJ24" s="178" t="s">
        <v>93</v>
      </c>
      <c r="AK24" s="178">
        <f>+Table1[[#This Row],[PO Amount]]</f>
        <v>42670.76</v>
      </c>
      <c r="AL24" s="244">
        <v>45758</v>
      </c>
      <c r="AM24" s="215">
        <f>(Table1[[#This Row],[Invoice Date]]-Table1[[#This Row],[Month]])/7</f>
        <v>14.857142857142858</v>
      </c>
      <c r="AN24" s="229">
        <v>30</v>
      </c>
      <c r="AO24" s="263">
        <f t="shared" si="3"/>
        <v>45788</v>
      </c>
      <c r="AP24" s="178" t="s">
        <v>94</v>
      </c>
      <c r="AQ24" s="201" t="str">
        <f ca="1">IF(AND(AO24&lt;TODAY(),Table1[[#This Row],[Payment Status]]="Pending"),"Past Due", "OK")</f>
        <v>OK</v>
      </c>
      <c r="AR24" s="178"/>
    </row>
    <row r="25" spans="1:44">
      <c r="A25" s="173">
        <v>45645</v>
      </c>
      <c r="B25" s="174" t="s">
        <v>63</v>
      </c>
      <c r="C25" s="278" t="s">
        <v>139</v>
      </c>
      <c r="D25" s="174"/>
      <c r="E25" s="174"/>
      <c r="F25" s="174"/>
      <c r="G25" s="176" t="s">
        <v>140</v>
      </c>
      <c r="H25" s="177" t="s">
        <v>141</v>
      </c>
      <c r="I25" s="177" t="s">
        <v>142</v>
      </c>
      <c r="J25" s="177" t="s">
        <v>49</v>
      </c>
      <c r="K25" s="177" t="s">
        <v>68</v>
      </c>
      <c r="L25" s="178">
        <v>35604.239999999998</v>
      </c>
      <c r="M25" s="179">
        <f>Table1[[#This Row],[Quoted Rev]]/Table1[[#This Row],[PO Amount]]</f>
        <v>0.22921595854875715</v>
      </c>
      <c r="N25" s="178">
        <v>8161.06</v>
      </c>
      <c r="O25" s="178">
        <f>+Table1[[#This Row],[PO Amount]]-Table1[[#This Row],[Quoted Rev]]</f>
        <v>27443.179999999997</v>
      </c>
      <c r="P25" s="178">
        <v>0</v>
      </c>
      <c r="Q25" s="178" t="s">
        <v>51</v>
      </c>
      <c r="R25" s="178"/>
      <c r="S25" s="178"/>
      <c r="T25" s="178"/>
      <c r="U25" s="178">
        <f>(Table1[[#This Row],[Invoice Date]]-Table1[[#This Row],[Month]])/7</f>
        <v>21.142857142857142</v>
      </c>
      <c r="V25" s="178"/>
      <c r="W25" s="178">
        <f t="shared" si="0"/>
        <v>0</v>
      </c>
      <c r="X25" s="178"/>
      <c r="Y25" s="178"/>
      <c r="Z25" s="178"/>
      <c r="AA25" s="178"/>
      <c r="AB25" s="178"/>
      <c r="AC25" s="178"/>
      <c r="AD25" s="193"/>
      <c r="AE25" s="193"/>
      <c r="AF25" s="178"/>
      <c r="AG25" s="178" t="s">
        <v>52</v>
      </c>
      <c r="AH25" s="179">
        <v>1</v>
      </c>
      <c r="AI25" s="193">
        <v>1173</v>
      </c>
      <c r="AJ25" s="178" t="s">
        <v>93</v>
      </c>
      <c r="AK25" s="178">
        <f>+Table1[[#This Row],[PO Amount]]</f>
        <v>35604.239999999998</v>
      </c>
      <c r="AL25" s="244">
        <v>45793</v>
      </c>
      <c r="AM25" s="215">
        <f>(Table1[[#This Row],[Invoice Date]]-Table1[[#This Row],[Month]])/7</f>
        <v>21.142857142857142</v>
      </c>
      <c r="AN25" s="229">
        <v>30</v>
      </c>
      <c r="AO25" s="263">
        <f t="shared" si="3"/>
        <v>45823</v>
      </c>
      <c r="AP25" s="178" t="s">
        <v>94</v>
      </c>
      <c r="AQ25" s="201" t="str">
        <f ca="1">IF(AND(AO25&lt;TODAY(),Table1[[#This Row],[Payment Status]]="Pending"),"Past Due", "OK")</f>
        <v>OK</v>
      </c>
      <c r="AR25" s="178"/>
    </row>
    <row r="26" spans="1:44">
      <c r="A26" s="173">
        <v>45680</v>
      </c>
      <c r="B26" s="174" t="s">
        <v>63</v>
      </c>
      <c r="C26" s="278" t="s">
        <v>143</v>
      </c>
      <c r="D26" s="174"/>
      <c r="E26" s="174"/>
      <c r="F26" s="174"/>
      <c r="G26" s="176" t="s">
        <v>144</v>
      </c>
      <c r="H26" s="177" t="s">
        <v>145</v>
      </c>
      <c r="I26" s="177" t="s">
        <v>138</v>
      </c>
      <c r="J26" s="177" t="s">
        <v>3</v>
      </c>
      <c r="K26" s="177" t="s">
        <v>68</v>
      </c>
      <c r="L26" s="178">
        <v>3600</v>
      </c>
      <c r="M26" s="179">
        <v>0.3</v>
      </c>
      <c r="N26" s="178">
        <f>+Table1[[#This Row],[PO Amount]]*0.3</f>
        <v>1080</v>
      </c>
      <c r="O26" s="178">
        <f>+Table1[[#This Row],[PO Amount]]-Table1[[#This Row],[Quoted Rev]]</f>
        <v>2520</v>
      </c>
      <c r="P26" s="178">
        <v>0</v>
      </c>
      <c r="Q26" s="178" t="s">
        <v>51</v>
      </c>
      <c r="R26" s="178"/>
      <c r="S26" s="178"/>
      <c r="T26" s="178"/>
      <c r="U26" s="178">
        <f>(Table1[[#This Row],[Invoice Date]]-Table1[[#This Row],[Month]])/7</f>
        <v>0</v>
      </c>
      <c r="V26" s="178"/>
      <c r="W26" s="178">
        <f t="shared" si="0"/>
        <v>0</v>
      </c>
      <c r="X26" s="178"/>
      <c r="Y26" s="178"/>
      <c r="Z26" s="178"/>
      <c r="AA26" s="178"/>
      <c r="AB26" s="178"/>
      <c r="AC26" s="178"/>
      <c r="AD26" s="193"/>
      <c r="AE26" s="193"/>
      <c r="AF26" s="178"/>
      <c r="AG26" s="178" t="s">
        <v>52</v>
      </c>
      <c r="AH26" s="179">
        <v>1</v>
      </c>
      <c r="AI26" s="193">
        <v>1141</v>
      </c>
      <c r="AJ26" s="178" t="s">
        <v>93</v>
      </c>
      <c r="AK26" s="178">
        <f>+Table1[[#This Row],[PO Amount]]</f>
        <v>3600</v>
      </c>
      <c r="AL26" s="244">
        <v>45680</v>
      </c>
      <c r="AM26" s="215">
        <f>(Table1[[#This Row],[Invoice Date]]-Table1[[#This Row],[Month]])/7</f>
        <v>0</v>
      </c>
      <c r="AN26" s="229">
        <v>30</v>
      </c>
      <c r="AO26" s="263">
        <f t="shared" si="3"/>
        <v>45710</v>
      </c>
      <c r="AP26" s="178" t="s">
        <v>53</v>
      </c>
      <c r="AQ26" s="201" t="str">
        <f ca="1">IF(AND(AO26&lt;TODAY(),Table1[[#This Row],[Payment Status]]="Pending"),"Past Due", "OK")</f>
        <v>Past Due</v>
      </c>
      <c r="AR26" s="178"/>
    </row>
    <row r="27" spans="1:44">
      <c r="A27" s="173">
        <v>45673</v>
      </c>
      <c r="B27" s="174" t="s">
        <v>44</v>
      </c>
      <c r="C27" s="278" t="s">
        <v>146</v>
      </c>
      <c r="D27" s="174"/>
      <c r="E27" s="174"/>
      <c r="F27" s="174"/>
      <c r="G27" s="245" t="s">
        <v>147</v>
      </c>
      <c r="H27" s="177" t="s">
        <v>141</v>
      </c>
      <c r="I27" s="177" t="s">
        <v>142</v>
      </c>
      <c r="J27" s="177" t="s">
        <v>49</v>
      </c>
      <c r="K27" s="177" t="s">
        <v>97</v>
      </c>
      <c r="L27" s="178">
        <v>35192.120000000003</v>
      </c>
      <c r="M27" s="179">
        <f>Table1[[#This Row],[Quoted Rev]]/Table1[[#This Row],[PO Amount]]</f>
        <v>0.29142745591910918</v>
      </c>
      <c r="N27" s="178">
        <v>10255.950000000001</v>
      </c>
      <c r="O27" s="178">
        <f>+Table1[[#This Row],[PO Amount]]-Table1[[#This Row],[Quoted Rev]]</f>
        <v>24936.170000000002</v>
      </c>
      <c r="P27" s="178">
        <v>0</v>
      </c>
      <c r="Q27" s="178" t="s">
        <v>51</v>
      </c>
      <c r="R27" s="178"/>
      <c r="S27" s="178"/>
      <c r="T27" s="178"/>
      <c r="U27" s="178">
        <f>(Table1[[#This Row],[Invoice Date]]-Table1[[#This Row],[Month]])/7</f>
        <v>17.714285714285715</v>
      </c>
      <c r="V27" s="178"/>
      <c r="W27" s="178">
        <f t="shared" si="0"/>
        <v>0</v>
      </c>
      <c r="X27" s="178"/>
      <c r="Y27" s="178"/>
      <c r="Z27" s="178"/>
      <c r="AA27" s="178"/>
      <c r="AB27" s="178"/>
      <c r="AC27" s="178"/>
      <c r="AD27" s="193"/>
      <c r="AE27" s="193"/>
      <c r="AF27" s="178"/>
      <c r="AG27" s="178" t="s">
        <v>52</v>
      </c>
      <c r="AH27" s="179">
        <v>1</v>
      </c>
      <c r="AI27" s="193">
        <v>1170</v>
      </c>
      <c r="AJ27" s="178" t="s">
        <v>93</v>
      </c>
      <c r="AK27" s="178">
        <f>+Table1[[#This Row],[PO Amount]]</f>
        <v>35192.120000000003</v>
      </c>
      <c r="AL27" s="244">
        <v>45797</v>
      </c>
      <c r="AM27" s="215">
        <f>(Table1[[#This Row],[Invoice Date]]-Table1[[#This Row],[Month]])/7</f>
        <v>17.714285714285715</v>
      </c>
      <c r="AN27" s="229">
        <v>30</v>
      </c>
      <c r="AO27" s="263">
        <f t="shared" si="3"/>
        <v>45827</v>
      </c>
      <c r="AP27" s="178" t="s">
        <v>94</v>
      </c>
      <c r="AQ27" s="201" t="str">
        <f ca="1">IF(AND(AO27&lt;TODAY(),Table1[[#This Row],[Payment Status]]="Pending"),"Past Due", "OK")</f>
        <v>OK</v>
      </c>
      <c r="AR27" s="178"/>
    </row>
    <row r="28" spans="1:44" s="258" customFormat="1">
      <c r="A28" s="250">
        <v>45706</v>
      </c>
      <c r="B28" s="199" t="s">
        <v>44</v>
      </c>
      <c r="C28" s="280" t="s">
        <v>148</v>
      </c>
      <c r="D28" s="174"/>
      <c r="E28" s="174"/>
      <c r="F28" s="174"/>
      <c r="G28" s="245" t="s">
        <v>149</v>
      </c>
      <c r="H28" s="251" t="s">
        <v>141</v>
      </c>
      <c r="I28" s="251" t="s">
        <v>142</v>
      </c>
      <c r="J28" s="251" t="s">
        <v>49</v>
      </c>
      <c r="K28" s="251" t="s">
        <v>97</v>
      </c>
      <c r="L28" s="246">
        <v>2200</v>
      </c>
      <c r="M28" s="247">
        <v>0.187</v>
      </c>
      <c r="N28" s="246">
        <f>+Table1[[#This Row],[PO Amount]]*Table1[[#This Row],[Theorical Margen]]</f>
        <v>411.4</v>
      </c>
      <c r="O28" s="246">
        <f>+Table1[[#This Row],[PO Amount]]-Table1[[#This Row],[Quoted Rev]]</f>
        <v>1788.6</v>
      </c>
      <c r="P28" s="246">
        <v>0</v>
      </c>
      <c r="Q28" s="252" t="s">
        <v>51</v>
      </c>
      <c r="R28" s="178"/>
      <c r="S28" s="178"/>
      <c r="T28" s="178"/>
      <c r="U28" s="178">
        <f>(Table1[[#This Row],[Invoice Date]]-Table1[[#This Row],[Month]])/7</f>
        <v>25.428571428571427</v>
      </c>
      <c r="V28" s="178"/>
      <c r="W28" s="178">
        <f t="shared" si="0"/>
        <v>0</v>
      </c>
      <c r="X28" s="178"/>
      <c r="Y28" s="178"/>
      <c r="Z28" s="178"/>
      <c r="AA28" s="178"/>
      <c r="AB28" s="178"/>
      <c r="AC28" s="178"/>
      <c r="AD28" s="193"/>
      <c r="AE28" s="193"/>
      <c r="AF28" s="178"/>
      <c r="AG28" s="252" t="s">
        <v>52</v>
      </c>
      <c r="AH28" s="253">
        <v>1</v>
      </c>
      <c r="AI28" s="254">
        <v>1202</v>
      </c>
      <c r="AJ28" s="252" t="s">
        <v>150</v>
      </c>
      <c r="AK28" s="252">
        <f>+Table1[[#This Row],[PO Amount]]</f>
        <v>2200</v>
      </c>
      <c r="AL28" s="260">
        <v>45884</v>
      </c>
      <c r="AM28" s="255">
        <f>(Table1[[#This Row],[Invoice Date]]-Table1[[#This Row],[Month]])/7</f>
        <v>25.428571428571427</v>
      </c>
      <c r="AN28" s="256">
        <v>30</v>
      </c>
      <c r="AO28" s="264">
        <f t="shared" si="3"/>
        <v>45914</v>
      </c>
      <c r="AP28" s="252" t="s">
        <v>94</v>
      </c>
      <c r="AQ28" s="257" t="str">
        <f ca="1">IF(AND(AO28&lt;TODAY(),Table1[[#This Row],[Payment Status]]="Pending"),"Past Due", "OK")</f>
        <v>OK</v>
      </c>
      <c r="AR28" s="248"/>
    </row>
    <row r="29" spans="1:44" ht="27.75" customHeight="1">
      <c r="A29" s="173">
        <v>399</v>
      </c>
      <c r="B29" s="174" t="s">
        <v>63</v>
      </c>
      <c r="C29" s="279"/>
      <c r="D29" s="174"/>
      <c r="E29" s="174"/>
      <c r="F29" s="174"/>
      <c r="G29" s="245" t="s">
        <v>151</v>
      </c>
      <c r="H29" s="177" t="s">
        <v>152</v>
      </c>
      <c r="I29" s="177" t="s">
        <v>123</v>
      </c>
      <c r="J29" s="177" t="s">
        <v>49</v>
      </c>
      <c r="K29" s="177" t="s">
        <v>68</v>
      </c>
      <c r="L29" s="178">
        <f>4435.5*0.09</f>
        <v>399.19499999999999</v>
      </c>
      <c r="M29" s="179">
        <f>Table1[[#This Row],[Quoted Rev]]/Table1[[#This Row],[PO Amount]]</f>
        <v>1</v>
      </c>
      <c r="N29" s="178">
        <f>+Table1[[#This Row],[PO Amount]]</f>
        <v>399.19499999999999</v>
      </c>
      <c r="O29" s="178">
        <f>+Table1[[#This Row],[PO Amount]]-Table1[[#This Row],[Quoted Rev]]</f>
        <v>0</v>
      </c>
      <c r="P29" s="178">
        <v>0</v>
      </c>
      <c r="Q29" s="178" t="s">
        <v>51</v>
      </c>
      <c r="R29" s="178"/>
      <c r="S29" s="178"/>
      <c r="T29" s="178"/>
      <c r="U29" s="178">
        <f>(Table1[[#This Row],[Invoice Date]]-Table1[[#This Row],[Month]])/7</f>
        <v>6489.8571428571431</v>
      </c>
      <c r="V29" s="178"/>
      <c r="W29" s="178">
        <f t="shared" si="0"/>
        <v>0</v>
      </c>
      <c r="X29" s="178"/>
      <c r="Y29" s="178"/>
      <c r="Z29" s="178"/>
      <c r="AA29" s="178"/>
      <c r="AB29" s="178"/>
      <c r="AC29" s="178"/>
      <c r="AD29" s="193"/>
      <c r="AE29" s="193"/>
      <c r="AF29" s="178"/>
      <c r="AG29" s="178" t="s">
        <v>52</v>
      </c>
      <c r="AH29" s="179">
        <v>1</v>
      </c>
      <c r="AI29" s="193"/>
      <c r="AJ29" s="178" t="s">
        <v>93</v>
      </c>
      <c r="AK29" s="178">
        <f>+Table1[[#This Row],[PO Amount]]</f>
        <v>399.19499999999999</v>
      </c>
      <c r="AL29" s="244">
        <v>45828</v>
      </c>
      <c r="AM29" s="215">
        <f>(Table1[[#This Row],[Invoice Date]]-Table1[[#This Row],[Month]])/7</f>
        <v>6489.8571428571431</v>
      </c>
      <c r="AN29" s="229">
        <v>60</v>
      </c>
      <c r="AO29" s="263">
        <f t="shared" si="3"/>
        <v>45888</v>
      </c>
      <c r="AP29" s="178" t="s">
        <v>53</v>
      </c>
      <c r="AQ29" s="201" t="str">
        <f ca="1">IF(AND(AO29&lt;TODAY(),Table1[[#This Row],[Payment Status]]="Pending"),"Past Due", "OK")</f>
        <v>Past Due</v>
      </c>
      <c r="AR29" s="220"/>
    </row>
    <row r="30" spans="1:44">
      <c r="A30" s="173">
        <v>45691</v>
      </c>
      <c r="B30" s="174" t="s">
        <v>63</v>
      </c>
      <c r="C30" s="278" t="s">
        <v>153</v>
      </c>
      <c r="D30" s="174"/>
      <c r="E30" s="174"/>
      <c r="F30" s="174"/>
      <c r="G30" s="245" t="s">
        <v>154</v>
      </c>
      <c r="H30" s="177" t="s">
        <v>141</v>
      </c>
      <c r="I30" s="177" t="s">
        <v>142</v>
      </c>
      <c r="J30" s="177" t="s">
        <v>49</v>
      </c>
      <c r="K30" s="177" t="s">
        <v>68</v>
      </c>
      <c r="L30" s="178">
        <v>6845.27</v>
      </c>
      <c r="M30" s="179">
        <f>Table1[[#This Row],[Quoted Rev]]/Table1[[#This Row],[PO Amount]]</f>
        <v>0.35</v>
      </c>
      <c r="N30" s="178">
        <f>+Table1[[#This Row],[PO Amount]]*0.35</f>
        <v>2395.8445000000002</v>
      </c>
      <c r="O30" s="178">
        <f>+Table1[[#This Row],[PO Amount]]-Table1[[#This Row],[Quoted Rev]]</f>
        <v>4449.4255000000003</v>
      </c>
      <c r="P30" s="178">
        <v>0</v>
      </c>
      <c r="Q30" s="178" t="s">
        <v>51</v>
      </c>
      <c r="R30" s="178"/>
      <c r="S30" s="178"/>
      <c r="T30" s="178"/>
      <c r="U30" s="178">
        <f>(Table1[[#This Row],[Invoice Date]]-Table1[[#This Row],[Month]])/7</f>
        <v>14.428571428571429</v>
      </c>
      <c r="V30" s="178"/>
      <c r="W30" s="178">
        <f t="shared" si="0"/>
        <v>0</v>
      </c>
      <c r="X30" s="178"/>
      <c r="Y30" s="178"/>
      <c r="Z30" s="178"/>
      <c r="AA30" s="178"/>
      <c r="AB30" s="178"/>
      <c r="AC30" s="178"/>
      <c r="AD30" s="193"/>
      <c r="AE30" s="193"/>
      <c r="AF30" s="178"/>
      <c r="AG30" s="178" t="s">
        <v>52</v>
      </c>
      <c r="AH30" s="179">
        <v>1</v>
      </c>
      <c r="AI30" s="193">
        <v>1174</v>
      </c>
      <c r="AJ30" s="178" t="s">
        <v>93</v>
      </c>
      <c r="AK30" s="178">
        <f>+Table1[[#This Row],[PO Amount]]</f>
        <v>6845.27</v>
      </c>
      <c r="AL30" s="244">
        <v>45792</v>
      </c>
      <c r="AM30" s="215">
        <f>(Table1[[#This Row],[Invoice Date]]-Table1[[#This Row],[Month]])/7</f>
        <v>14.428571428571429</v>
      </c>
      <c r="AN30" s="229">
        <v>30</v>
      </c>
      <c r="AO30" s="263">
        <f t="shared" si="3"/>
        <v>45822</v>
      </c>
      <c r="AP30" s="178" t="s">
        <v>94</v>
      </c>
      <c r="AQ30" s="201" t="str">
        <f ca="1">IF(AND(AO30&lt;TODAY(),Table1[[#This Row],[Payment Status]]="Pending"),"Past Due", "OK")</f>
        <v>OK</v>
      </c>
      <c r="AR30" s="220"/>
    </row>
    <row r="31" spans="1:44">
      <c r="A31" s="173">
        <v>45712</v>
      </c>
      <c r="B31" s="174" t="s">
        <v>63</v>
      </c>
      <c r="C31" s="278" t="s">
        <v>155</v>
      </c>
      <c r="D31" s="174"/>
      <c r="E31" s="174"/>
      <c r="F31" s="174"/>
      <c r="G31" s="245" t="s">
        <v>156</v>
      </c>
      <c r="H31" s="177" t="s">
        <v>157</v>
      </c>
      <c r="I31" s="177" t="s">
        <v>158</v>
      </c>
      <c r="J31" s="177" t="s">
        <v>3</v>
      </c>
      <c r="K31" s="177" t="s">
        <v>68</v>
      </c>
      <c r="L31" s="178">
        <v>38512.910000000003</v>
      </c>
      <c r="M31" s="179">
        <f>Table1[[#This Row],[Quoted Rev]]/Table1[[#This Row],[PO Amount]]</f>
        <v>0.29452383629281709</v>
      </c>
      <c r="N31" s="178">
        <v>11342.97</v>
      </c>
      <c r="O31" s="178">
        <f>+Table1[[#This Row],[PO Amount]]-Table1[[#This Row],[Quoted Rev]]</f>
        <v>27169.940000000002</v>
      </c>
      <c r="P31" s="178">
        <v>0</v>
      </c>
      <c r="Q31" s="178" t="s">
        <v>51</v>
      </c>
      <c r="R31" s="178"/>
      <c r="S31" s="178"/>
      <c r="T31" s="178"/>
      <c r="U31" s="178">
        <f>(Table1[[#This Row],[Invoice Date]]-Table1[[#This Row],[Month]])/7</f>
        <v>9</v>
      </c>
      <c r="V31" s="178"/>
      <c r="W31" s="178">
        <f t="shared" si="0"/>
        <v>0</v>
      </c>
      <c r="X31" s="178"/>
      <c r="Y31" s="178"/>
      <c r="Z31" s="178"/>
      <c r="AA31" s="178"/>
      <c r="AB31" s="178"/>
      <c r="AC31" s="178"/>
      <c r="AD31" s="193"/>
      <c r="AE31" s="193"/>
      <c r="AF31" s="178"/>
      <c r="AG31" s="178" t="s">
        <v>52</v>
      </c>
      <c r="AH31" s="179">
        <v>1</v>
      </c>
      <c r="AI31" s="193">
        <v>1164</v>
      </c>
      <c r="AJ31" s="178" t="s">
        <v>93</v>
      </c>
      <c r="AK31" s="178">
        <f>+Table1[[#This Row],[PO Amount]]</f>
        <v>38512.910000000003</v>
      </c>
      <c r="AL31" s="244">
        <v>45775</v>
      </c>
      <c r="AM31" s="215">
        <f>(Table1[[#This Row],[Invoice Date]]-Table1[[#This Row],[Month]])/7</f>
        <v>9</v>
      </c>
      <c r="AN31" s="229">
        <v>30</v>
      </c>
      <c r="AO31" s="263">
        <f t="shared" si="3"/>
        <v>45805</v>
      </c>
      <c r="AP31" s="178" t="s">
        <v>94</v>
      </c>
      <c r="AQ31" s="201" t="str">
        <f ca="1">IF(AND(AO31&lt;TODAY(),Table1[[#This Row],[Payment Status]]="Pending"),"Past Due", "OK")</f>
        <v>OK</v>
      </c>
      <c r="AR31" s="220"/>
    </row>
    <row r="32" spans="1:44" ht="15.75">
      <c r="A32" s="173">
        <v>45713</v>
      </c>
      <c r="B32" s="174" t="s">
        <v>95</v>
      </c>
      <c r="C32" s="270" t="s">
        <v>159</v>
      </c>
      <c r="D32" s="174"/>
      <c r="E32" s="174"/>
      <c r="F32" s="174"/>
      <c r="G32" s="245" t="s">
        <v>160</v>
      </c>
      <c r="H32" s="177" t="s">
        <v>75</v>
      </c>
      <c r="I32" s="177" t="s">
        <v>76</v>
      </c>
      <c r="J32" s="177" t="s">
        <v>49</v>
      </c>
      <c r="K32" s="177" t="s">
        <v>161</v>
      </c>
      <c r="L32" s="178">
        <v>767.88</v>
      </c>
      <c r="M32" s="242">
        <v>0.187</v>
      </c>
      <c r="N32" s="178">
        <f>+Table1[[#This Row],[PO Amount]]*Table1[[#This Row],[Theorical Margen]]</f>
        <v>143.59356</v>
      </c>
      <c r="O32" s="178">
        <f>+Table1[[#This Row],[PO Amount]]-Table1[[#This Row],[Quoted Rev]]</f>
        <v>624.28643999999997</v>
      </c>
      <c r="P32" s="178">
        <v>0</v>
      </c>
      <c r="Q32" s="178" t="s">
        <v>51</v>
      </c>
      <c r="R32" s="178"/>
      <c r="S32" s="178"/>
      <c r="T32" s="178"/>
      <c r="U32" s="178">
        <f>(Table1[[#This Row],[Invoice Date]]-Table1[[#This Row],[Month]])/7</f>
        <v>11.285714285714286</v>
      </c>
      <c r="V32" s="178"/>
      <c r="W32" s="178">
        <f t="shared" si="0"/>
        <v>0</v>
      </c>
      <c r="X32" s="178"/>
      <c r="Y32" s="178"/>
      <c r="Z32" s="178"/>
      <c r="AA32" s="178"/>
      <c r="AB32" s="178"/>
      <c r="AC32" s="178"/>
      <c r="AD32" s="193"/>
      <c r="AE32" s="193"/>
      <c r="AF32" s="178"/>
      <c r="AG32" s="178" t="s">
        <v>52</v>
      </c>
      <c r="AH32" s="179">
        <v>1</v>
      </c>
      <c r="AI32" s="193"/>
      <c r="AJ32" s="178" t="s">
        <v>93</v>
      </c>
      <c r="AK32" s="178">
        <f>+Table1[[#This Row],[PO Amount]]</f>
        <v>767.88</v>
      </c>
      <c r="AL32" s="244">
        <v>45792</v>
      </c>
      <c r="AM32" s="215">
        <f>(Table1[[#This Row],[Invoice Date]]-Table1[[#This Row],[Month]])/7</f>
        <v>11.285714285714286</v>
      </c>
      <c r="AN32" s="229">
        <v>30</v>
      </c>
      <c r="AO32" s="263">
        <f t="shared" si="3"/>
        <v>45822</v>
      </c>
      <c r="AP32" s="178" t="s">
        <v>53</v>
      </c>
      <c r="AQ32" s="201" t="str">
        <f ca="1">IF(AND(AO32&lt;TODAY(),Table1[[#This Row],[Payment Status]]="Pending"),"Past Due", "OK")</f>
        <v>Past Due</v>
      </c>
      <c r="AR32" s="220"/>
    </row>
    <row r="33" spans="1:44" ht="15.75">
      <c r="A33" s="173">
        <v>45713</v>
      </c>
      <c r="B33" s="174" t="s">
        <v>95</v>
      </c>
      <c r="C33" s="270" t="s">
        <v>159</v>
      </c>
      <c r="D33" s="174"/>
      <c r="E33" s="174"/>
      <c r="F33" s="174"/>
      <c r="G33" s="245" t="s">
        <v>162</v>
      </c>
      <c r="H33" s="177" t="s">
        <v>75</v>
      </c>
      <c r="I33" s="177" t="s">
        <v>76</v>
      </c>
      <c r="J33" s="177" t="s">
        <v>49</v>
      </c>
      <c r="K33" s="177" t="s">
        <v>161</v>
      </c>
      <c r="L33" s="178">
        <v>2208</v>
      </c>
      <c r="M33" s="242">
        <v>0.187</v>
      </c>
      <c r="N33" s="178">
        <f>+Table1[[#This Row],[PO Amount]]*Table1[[#This Row],[Theorical Margen]]</f>
        <v>412.89600000000002</v>
      </c>
      <c r="O33" s="178">
        <f>+Table1[[#This Row],[PO Amount]]-Table1[[#This Row],[Quoted Rev]]</f>
        <v>1795.104</v>
      </c>
      <c r="P33" s="178">
        <v>0</v>
      </c>
      <c r="Q33" s="178" t="s">
        <v>51</v>
      </c>
      <c r="R33" s="178"/>
      <c r="S33" s="178"/>
      <c r="T33" s="178"/>
      <c r="U33" s="178">
        <f>(Table1[[#This Row],[Invoice Date]]-Table1[[#This Row],[Month]])/7</f>
        <v>11.285714285714286</v>
      </c>
      <c r="V33" s="178"/>
      <c r="W33" s="178">
        <f t="shared" si="0"/>
        <v>0</v>
      </c>
      <c r="X33" s="178"/>
      <c r="Y33" s="178"/>
      <c r="Z33" s="178"/>
      <c r="AA33" s="178"/>
      <c r="AB33" s="178"/>
      <c r="AC33" s="178"/>
      <c r="AD33" s="193"/>
      <c r="AE33" s="193"/>
      <c r="AF33" s="178"/>
      <c r="AG33" s="178" t="s">
        <v>52</v>
      </c>
      <c r="AH33" s="179">
        <v>1</v>
      </c>
      <c r="AI33" s="193"/>
      <c r="AJ33" s="178" t="s">
        <v>93</v>
      </c>
      <c r="AK33" s="178">
        <f>+Table1[[#This Row],[PO Amount]]</f>
        <v>2208</v>
      </c>
      <c r="AL33" s="244">
        <v>45792</v>
      </c>
      <c r="AM33" s="215">
        <f>(Table1[[#This Row],[Invoice Date]]-Table1[[#This Row],[Month]])/7</f>
        <v>11.285714285714286</v>
      </c>
      <c r="AN33" s="229">
        <v>30</v>
      </c>
      <c r="AO33" s="263">
        <f t="shared" si="3"/>
        <v>45822</v>
      </c>
      <c r="AP33" s="178" t="s">
        <v>53</v>
      </c>
      <c r="AQ33" s="201" t="str">
        <f ca="1">IF(AND(AO33&lt;TODAY(),Table1[[#This Row],[Payment Status]]="Pending"),"Past Due", "OK")</f>
        <v>Past Due</v>
      </c>
      <c r="AR33" s="220"/>
    </row>
    <row r="34" spans="1:44" ht="25.5">
      <c r="A34" s="173">
        <v>45703</v>
      </c>
      <c r="B34" s="174" t="s">
        <v>44</v>
      </c>
      <c r="C34" s="278" t="s">
        <v>163</v>
      </c>
      <c r="D34" s="174"/>
      <c r="E34" s="174"/>
      <c r="F34" s="174"/>
      <c r="G34" s="245" t="s">
        <v>164</v>
      </c>
      <c r="H34" s="177" t="s">
        <v>47</v>
      </c>
      <c r="I34" s="177" t="s">
        <v>56</v>
      </c>
      <c r="J34" s="177" t="s">
        <v>49</v>
      </c>
      <c r="K34" s="177" t="s">
        <v>101</v>
      </c>
      <c r="L34" s="178">
        <v>1456.59</v>
      </c>
      <c r="M34" s="242">
        <v>0.187</v>
      </c>
      <c r="N34" s="178">
        <f>+Table1[[#This Row],[PO Amount]]*Table1[[#This Row],[Theorical Margen]]</f>
        <v>272.38232999999997</v>
      </c>
      <c r="O34" s="178">
        <f>+Table1[[#This Row],[PO Amount]]-Table1[[#This Row],[Quoted Rev]]</f>
        <v>1184.20767</v>
      </c>
      <c r="P34" s="178">
        <v>0</v>
      </c>
      <c r="Q34" s="178" t="s">
        <v>51</v>
      </c>
      <c r="R34" s="178"/>
      <c r="S34" s="178"/>
      <c r="T34" s="178"/>
      <c r="U34" s="178">
        <f>(Table1[[#This Row],[Invoice Date]]-Table1[[#This Row],[Month]])/7</f>
        <v>14.857142857142858</v>
      </c>
      <c r="V34" s="178"/>
      <c r="W34" s="178">
        <f t="shared" si="0"/>
        <v>0</v>
      </c>
      <c r="X34" s="178"/>
      <c r="Y34" s="178"/>
      <c r="Z34" s="178"/>
      <c r="AA34" s="178"/>
      <c r="AB34" s="178"/>
      <c r="AC34" s="178"/>
      <c r="AD34" s="193"/>
      <c r="AE34" s="193"/>
      <c r="AF34" s="178"/>
      <c r="AG34" s="178" t="s">
        <v>52</v>
      </c>
      <c r="AH34" s="179">
        <v>1</v>
      </c>
      <c r="AI34" s="193">
        <v>1154</v>
      </c>
      <c r="AJ34" s="178" t="s">
        <v>93</v>
      </c>
      <c r="AK34" s="178">
        <f>+Table1[[#This Row],[PO Amount]]</f>
        <v>1456.59</v>
      </c>
      <c r="AL34" s="244">
        <v>45807</v>
      </c>
      <c r="AM34" s="215">
        <f>(Table1[[#This Row],[Invoice Date]]-Table1[[#This Row],[Month]])/7</f>
        <v>14.857142857142858</v>
      </c>
      <c r="AN34" s="229">
        <v>30</v>
      </c>
      <c r="AO34" s="263">
        <f t="shared" si="3"/>
        <v>45837</v>
      </c>
      <c r="AP34" s="178" t="s">
        <v>94</v>
      </c>
      <c r="AQ34" s="201" t="str">
        <f ca="1">IF(AND(AO34&lt;TODAY(),Table1[[#This Row],[Payment Status]]="Pending"),"Past Due", "OK")</f>
        <v>OK</v>
      </c>
      <c r="AR34" s="220"/>
    </row>
    <row r="35" spans="1:44">
      <c r="A35" s="173">
        <v>45730</v>
      </c>
      <c r="B35" s="174" t="s">
        <v>44</v>
      </c>
      <c r="C35" s="278" t="s">
        <v>165</v>
      </c>
      <c r="D35" s="174"/>
      <c r="E35" s="174"/>
      <c r="F35" s="174"/>
      <c r="G35" s="245" t="s">
        <v>166</v>
      </c>
      <c r="H35" s="177" t="s">
        <v>47</v>
      </c>
      <c r="I35" s="177" t="s">
        <v>56</v>
      </c>
      <c r="J35" s="177" t="s">
        <v>49</v>
      </c>
      <c r="K35" s="177" t="s">
        <v>101</v>
      </c>
      <c r="L35" s="178">
        <v>19905.84</v>
      </c>
      <c r="M35" s="242">
        <v>0.187</v>
      </c>
      <c r="N35" s="178">
        <f>+Table1[[#This Row],[PO Amount]]*Table1[[#This Row],[Theorical Margen]]</f>
        <v>3722.3920800000001</v>
      </c>
      <c r="O35" s="178">
        <f>+Table1[[#This Row],[PO Amount]]-Table1[[#This Row],[Quoted Rev]]</f>
        <v>16183.447920000001</v>
      </c>
      <c r="P35" s="178">
        <v>0</v>
      </c>
      <c r="Q35" s="178" t="s">
        <v>51</v>
      </c>
      <c r="R35" s="178"/>
      <c r="S35" s="178"/>
      <c r="T35" s="178"/>
      <c r="U35" s="178">
        <f>(Table1[[#This Row],[Invoice Date]]-Table1[[#This Row],[Month]])/7</f>
        <v>11</v>
      </c>
      <c r="V35" s="178"/>
      <c r="W35" s="178">
        <f t="shared" si="0"/>
        <v>0</v>
      </c>
      <c r="X35" s="178"/>
      <c r="Y35" s="178"/>
      <c r="Z35" s="178"/>
      <c r="AA35" s="178"/>
      <c r="AB35" s="178"/>
      <c r="AC35" s="178"/>
      <c r="AD35" s="193"/>
      <c r="AE35" s="193"/>
      <c r="AF35" s="178"/>
      <c r="AG35" s="178" t="s">
        <v>52</v>
      </c>
      <c r="AH35" s="179">
        <v>1</v>
      </c>
      <c r="AI35" s="193">
        <v>1179</v>
      </c>
      <c r="AJ35" s="178" t="s">
        <v>93</v>
      </c>
      <c r="AK35" s="178">
        <f>+Table1[[#This Row],[PO Amount]]</f>
        <v>19905.84</v>
      </c>
      <c r="AL35" s="244">
        <v>45807</v>
      </c>
      <c r="AM35" s="215">
        <f>(Table1[[#This Row],[Invoice Date]]-Table1[[#This Row],[Month]])/7</f>
        <v>11</v>
      </c>
      <c r="AN35" s="229">
        <v>30</v>
      </c>
      <c r="AO35" s="263">
        <f t="shared" si="3"/>
        <v>45837</v>
      </c>
      <c r="AP35" s="178" t="s">
        <v>94</v>
      </c>
      <c r="AQ35" s="201" t="str">
        <f ca="1">IF(AND(AO35&lt;TODAY(),Table1[[#This Row],[Payment Status]]="Pending"),"Past Due", "OK")</f>
        <v>OK</v>
      </c>
      <c r="AR35" s="220"/>
    </row>
    <row r="36" spans="1:44" ht="25.5">
      <c r="A36" s="173">
        <v>45744</v>
      </c>
      <c r="B36" s="174" t="s">
        <v>44</v>
      </c>
      <c r="C36" s="278" t="s">
        <v>167</v>
      </c>
      <c r="D36" s="174"/>
      <c r="E36" s="174"/>
      <c r="F36" s="174"/>
      <c r="G36" s="245" t="s">
        <v>168</v>
      </c>
      <c r="H36" s="177" t="s">
        <v>108</v>
      </c>
      <c r="I36" s="177" t="s">
        <v>109</v>
      </c>
      <c r="J36" s="177" t="s">
        <v>49</v>
      </c>
      <c r="K36" s="177" t="s">
        <v>101</v>
      </c>
      <c r="L36" s="178">
        <v>37067.32</v>
      </c>
      <c r="M36" s="242">
        <v>0.2762</v>
      </c>
      <c r="N36" s="178"/>
      <c r="O36" s="178"/>
      <c r="P36" s="178">
        <v>0</v>
      </c>
      <c r="Q36" s="178" t="s">
        <v>51</v>
      </c>
      <c r="R36" s="178"/>
      <c r="S36" s="178"/>
      <c r="T36" s="178"/>
      <c r="U36" s="178">
        <f>(Table1[[#This Row],[Invoice Date]]-Table1[[#This Row],[Month]])/7</f>
        <v>14.428571428571429</v>
      </c>
      <c r="V36" s="178"/>
      <c r="W36" s="178">
        <f t="shared" ref="W36:W71" si="4">T36+V36</f>
        <v>0</v>
      </c>
      <c r="X36" s="178"/>
      <c r="Y36" s="178"/>
      <c r="Z36" s="178"/>
      <c r="AA36" s="178"/>
      <c r="AB36" s="178"/>
      <c r="AC36" s="178"/>
      <c r="AD36" s="193"/>
      <c r="AE36" s="193"/>
      <c r="AF36" s="178"/>
      <c r="AG36" s="178" t="s">
        <v>52</v>
      </c>
      <c r="AH36" s="179">
        <v>1</v>
      </c>
      <c r="AI36" s="193">
        <v>1195</v>
      </c>
      <c r="AJ36" s="178" t="s">
        <v>93</v>
      </c>
      <c r="AK36" s="178">
        <f>+Table1[[#This Row],[PO Amount]]</f>
        <v>37067.32</v>
      </c>
      <c r="AL36" s="244">
        <v>45845</v>
      </c>
      <c r="AM36" s="215">
        <f>(Table1[[#This Row],[Invoice Date]]-Table1[[#This Row],[Month]])/7</f>
        <v>14.428571428571429</v>
      </c>
      <c r="AN36" s="229">
        <v>30</v>
      </c>
      <c r="AO36" s="263">
        <f t="shared" si="3"/>
        <v>45875</v>
      </c>
      <c r="AP36" s="178" t="s">
        <v>94</v>
      </c>
      <c r="AQ36" s="201" t="str">
        <f ca="1">IF(AND(AO36&lt;TODAY(),Table1[[#This Row],[Payment Status]]="Pending"),"Past Due", "OK")</f>
        <v>OK</v>
      </c>
      <c r="AR36" s="220"/>
    </row>
    <row r="37" spans="1:44">
      <c r="A37" s="173">
        <v>45769</v>
      </c>
      <c r="B37" s="174" t="s">
        <v>44</v>
      </c>
      <c r="C37" s="278" t="s">
        <v>169</v>
      </c>
      <c r="D37" s="174"/>
      <c r="E37" s="174"/>
      <c r="F37" s="174"/>
      <c r="G37" s="245" t="s">
        <v>170</v>
      </c>
      <c r="H37" s="177" t="s">
        <v>108</v>
      </c>
      <c r="I37" s="177" t="s">
        <v>109</v>
      </c>
      <c r="J37" s="177" t="s">
        <v>49</v>
      </c>
      <c r="K37" s="177" t="s">
        <v>50</v>
      </c>
      <c r="L37" s="178">
        <v>51080.66</v>
      </c>
      <c r="M37" s="179">
        <f>+Table1[[#This Row],[Quoted Rev]]/Table1[[#This Row],[PO Amount]]</f>
        <v>0.48535081574905253</v>
      </c>
      <c r="N37" s="178">
        <v>24792.04</v>
      </c>
      <c r="O37" s="178">
        <f>+Table1[[#This Row],[PO Amount]]-Table1[[#This Row],[Quoted Rev]]</f>
        <v>26288.620000000003</v>
      </c>
      <c r="P37" s="178">
        <v>0</v>
      </c>
      <c r="Q37" s="178" t="s">
        <v>51</v>
      </c>
      <c r="R37" s="178"/>
      <c r="S37" s="178"/>
      <c r="T37" s="178"/>
      <c r="U37" s="178">
        <f>(Table1[[#This Row],[Invoice Date]]-Table1[[#This Row],[Month]])/7</f>
        <v>33.428571428571431</v>
      </c>
      <c r="V37" s="178"/>
      <c r="W37" s="178">
        <f t="shared" si="4"/>
        <v>0</v>
      </c>
      <c r="X37" s="178"/>
      <c r="Y37" s="178"/>
      <c r="Z37" s="178"/>
      <c r="AA37" s="178"/>
      <c r="AB37" s="178"/>
      <c r="AC37" s="178"/>
      <c r="AD37" s="193"/>
      <c r="AE37" s="193"/>
      <c r="AF37" s="178"/>
      <c r="AG37" s="178" t="s">
        <v>52</v>
      </c>
      <c r="AH37" s="179">
        <v>1</v>
      </c>
      <c r="AI37" s="193"/>
      <c r="AJ37" s="178" t="s">
        <v>53</v>
      </c>
      <c r="AK37" s="178">
        <f>+Table1[[#This Row],[PO Amount]]</f>
        <v>51080.66</v>
      </c>
      <c r="AL37" s="244">
        <v>46003</v>
      </c>
      <c r="AM37" s="215">
        <f>(Table1[[#This Row],[Invoice Date]]-Table1[[#This Row],[Month]])/7</f>
        <v>33.428571428571431</v>
      </c>
      <c r="AN37" s="229">
        <v>30</v>
      </c>
      <c r="AO37" s="263">
        <f t="shared" si="3"/>
        <v>46033</v>
      </c>
      <c r="AP37" s="178" t="s">
        <v>53</v>
      </c>
      <c r="AQ37" s="201" t="str">
        <f ca="1">IF(AND(AO37&lt;TODAY(),Table1[[#This Row],[Payment Status]]="Pending"),"Past Due", "OK")</f>
        <v>OK</v>
      </c>
      <c r="AR37" s="220">
        <v>45935</v>
      </c>
    </row>
    <row r="38" spans="1:44">
      <c r="A38" s="173">
        <v>45769</v>
      </c>
      <c r="B38" s="174" t="s">
        <v>44</v>
      </c>
      <c r="C38" s="278" t="s">
        <v>171</v>
      </c>
      <c r="D38" s="174"/>
      <c r="E38" s="174"/>
      <c r="F38" s="174"/>
      <c r="G38" s="245" t="s">
        <v>172</v>
      </c>
      <c r="H38" s="177" t="s">
        <v>108</v>
      </c>
      <c r="I38" s="177" t="s">
        <v>109</v>
      </c>
      <c r="J38" s="177" t="s">
        <v>49</v>
      </c>
      <c r="K38" s="177" t="s">
        <v>50</v>
      </c>
      <c r="L38" s="178">
        <v>52068.9</v>
      </c>
      <c r="M38" s="179">
        <f>+Table1[[#This Row],[Quoted Rev]]/Table1[[#This Row],[PO Amount]]</f>
        <v>0.30017265584638814</v>
      </c>
      <c r="N38" s="178">
        <v>15629.66</v>
      </c>
      <c r="O38" s="178">
        <f>+Table1[[#This Row],[PO Amount]]-Table1[[#This Row],[Quoted Rev]]</f>
        <v>36439.240000000005</v>
      </c>
      <c r="P38" s="178">
        <v>0</v>
      </c>
      <c r="Q38" s="178" t="s">
        <v>51</v>
      </c>
      <c r="R38" s="178"/>
      <c r="S38" s="178"/>
      <c r="T38" s="178"/>
      <c r="U38" s="178">
        <f>(Table1[[#This Row],[Invoice Date]]-Table1[[#This Row],[Month]])/7</f>
        <v>34.428571428571431</v>
      </c>
      <c r="V38" s="178"/>
      <c r="W38" s="178">
        <f t="shared" si="4"/>
        <v>0</v>
      </c>
      <c r="X38" s="178"/>
      <c r="Y38" s="178"/>
      <c r="Z38" s="178"/>
      <c r="AA38" s="178"/>
      <c r="AB38" s="178"/>
      <c r="AC38" s="178"/>
      <c r="AD38" s="193"/>
      <c r="AE38" s="193"/>
      <c r="AF38" s="178"/>
      <c r="AG38" s="178" t="s">
        <v>52</v>
      </c>
      <c r="AH38" s="179">
        <v>1</v>
      </c>
      <c r="AI38" s="193"/>
      <c r="AJ38" s="178" t="s">
        <v>53</v>
      </c>
      <c r="AK38" s="178">
        <f>+Table1[[#This Row],[PO Amount]]</f>
        <v>52068.9</v>
      </c>
      <c r="AL38" s="244">
        <v>46010</v>
      </c>
      <c r="AM38" s="215">
        <f>(Table1[[#This Row],[Invoice Date]]-Table1[[#This Row],[Month]])/7</f>
        <v>34.428571428571431</v>
      </c>
      <c r="AN38" s="229">
        <v>30</v>
      </c>
      <c r="AO38" s="263">
        <f t="shared" si="3"/>
        <v>46040</v>
      </c>
      <c r="AP38" s="178" t="s">
        <v>53</v>
      </c>
      <c r="AQ38" s="201" t="str">
        <f ca="1">IF(AND(AO38&lt;TODAY(),Table1[[#This Row],[Payment Status]]="Pending"),"Past Due", "OK")</f>
        <v>OK</v>
      </c>
      <c r="AR38" s="220">
        <v>45935</v>
      </c>
    </row>
    <row r="39" spans="1:44">
      <c r="A39" s="173">
        <v>45771</v>
      </c>
      <c r="B39" s="174" t="s">
        <v>44</v>
      </c>
      <c r="C39" s="278" t="s">
        <v>173</v>
      </c>
      <c r="D39" s="174"/>
      <c r="E39" s="174"/>
      <c r="F39" s="174"/>
      <c r="G39" s="245" t="s">
        <v>174</v>
      </c>
      <c r="H39" s="177" t="s">
        <v>108</v>
      </c>
      <c r="I39" s="177" t="s">
        <v>109</v>
      </c>
      <c r="J39" s="177" t="s">
        <v>49</v>
      </c>
      <c r="K39" s="177" t="s">
        <v>50</v>
      </c>
      <c r="L39" s="178">
        <v>2192</v>
      </c>
      <c r="M39" s="243">
        <v>0</v>
      </c>
      <c r="N39" s="178">
        <f>+Table1[[#This Row],[PO Amount]]*Table1[[#This Row],[Theorical Margen]]</f>
        <v>0</v>
      </c>
      <c r="O39" s="178">
        <f>+Table1[[#This Row],[PO Amount]]-Table1[[#This Row],[Quoted Rev]]</f>
        <v>2192</v>
      </c>
      <c r="P39" s="178">
        <v>0</v>
      </c>
      <c r="Q39" s="178" t="s">
        <v>51</v>
      </c>
      <c r="R39" s="178"/>
      <c r="S39" s="178"/>
      <c r="T39" s="178"/>
      <c r="U39" s="178">
        <f>(Table1[[#This Row],[Invoice Date]]-Table1[[#This Row],[Month]])/7</f>
        <v>15</v>
      </c>
      <c r="V39" s="178"/>
      <c r="W39" s="178">
        <f t="shared" si="4"/>
        <v>0</v>
      </c>
      <c r="X39" s="178"/>
      <c r="Y39" s="178"/>
      <c r="Z39" s="178"/>
      <c r="AA39" s="178"/>
      <c r="AB39" s="178"/>
      <c r="AC39" s="178"/>
      <c r="AD39" s="193"/>
      <c r="AE39" s="193"/>
      <c r="AF39" s="178"/>
      <c r="AG39" s="178" t="s">
        <v>52</v>
      </c>
      <c r="AH39" s="179">
        <v>1</v>
      </c>
      <c r="AI39" s="193">
        <v>1201</v>
      </c>
      <c r="AJ39" s="178" t="s">
        <v>93</v>
      </c>
      <c r="AK39" s="178">
        <f>+Table1[[#This Row],[PO Amount]]</f>
        <v>2192</v>
      </c>
      <c r="AL39" s="244">
        <v>45876</v>
      </c>
      <c r="AM39" s="215">
        <f>(Table1[[#This Row],[Invoice Date]]-Table1[[#This Row],[Month]])/7</f>
        <v>15</v>
      </c>
      <c r="AN39" s="229">
        <v>30</v>
      </c>
      <c r="AO39" s="263">
        <f t="shared" si="3"/>
        <v>45906</v>
      </c>
      <c r="AP39" s="178" t="s">
        <v>94</v>
      </c>
      <c r="AQ39" s="201" t="str">
        <f ca="1">IF(AND(AO39&lt;TODAY(),Table1[[#This Row],[Payment Status]]="Pending"),"Past Due", "OK")</f>
        <v>OK</v>
      </c>
      <c r="AR39" s="220"/>
    </row>
    <row r="40" spans="1:44">
      <c r="A40" s="173">
        <v>45754</v>
      </c>
      <c r="B40" s="174" t="s">
        <v>63</v>
      </c>
      <c r="C40" s="278" t="s">
        <v>175</v>
      </c>
      <c r="D40" s="174"/>
      <c r="E40" s="174"/>
      <c r="F40" s="174"/>
      <c r="G40" s="176" t="s">
        <v>176</v>
      </c>
      <c r="H40" s="177" t="s">
        <v>145</v>
      </c>
      <c r="I40" s="177" t="s">
        <v>138</v>
      </c>
      <c r="J40" s="177" t="s">
        <v>3</v>
      </c>
      <c r="K40" s="177" t="s">
        <v>50</v>
      </c>
      <c r="L40" s="178">
        <v>3000</v>
      </c>
      <c r="M40" s="243">
        <v>0.09</v>
      </c>
      <c r="N40" s="178"/>
      <c r="O40" s="178"/>
      <c r="P40" s="178">
        <v>0</v>
      </c>
      <c r="Q40" s="178" t="s">
        <v>51</v>
      </c>
      <c r="R40" s="178"/>
      <c r="S40" s="178"/>
      <c r="T40" s="178"/>
      <c r="U40" s="178">
        <f>(Table1[[#This Row],[Invoice Date]]-Table1[[#This Row],[Month]])/7</f>
        <v>0</v>
      </c>
      <c r="V40" s="178"/>
      <c r="W40" s="178">
        <f t="shared" si="4"/>
        <v>0</v>
      </c>
      <c r="X40" s="178"/>
      <c r="Y40" s="178"/>
      <c r="Z40" s="178"/>
      <c r="AA40" s="178"/>
      <c r="AB40" s="178"/>
      <c r="AC40" s="178"/>
      <c r="AD40" s="193"/>
      <c r="AE40" s="193"/>
      <c r="AF40" s="178"/>
      <c r="AG40" s="178" t="s">
        <v>52</v>
      </c>
      <c r="AH40" s="179">
        <v>1</v>
      </c>
      <c r="AI40" s="193">
        <v>1161</v>
      </c>
      <c r="AJ40" s="178" t="s">
        <v>93</v>
      </c>
      <c r="AK40" s="178">
        <v>3000</v>
      </c>
      <c r="AL40" s="244">
        <v>45754</v>
      </c>
      <c r="AM40" s="215">
        <f>(Table1[[#This Row],[Invoice Date]]-Table1[[#This Row],[Month]])/7</f>
        <v>0</v>
      </c>
      <c r="AN40" s="229">
        <v>30</v>
      </c>
      <c r="AO40" s="263">
        <f t="shared" si="3"/>
        <v>45784</v>
      </c>
      <c r="AP40" s="178" t="s">
        <v>53</v>
      </c>
      <c r="AQ40" s="201" t="str">
        <f ca="1">IF(AND(AO40&lt;TODAY(),Table1[[#This Row],[Payment Status]]="Pending"),"Past Due", "OK")</f>
        <v>Past Due</v>
      </c>
      <c r="AR40" s="220"/>
    </row>
    <row r="41" spans="1:44">
      <c r="A41" s="173">
        <v>45779</v>
      </c>
      <c r="B41" s="174" t="s">
        <v>63</v>
      </c>
      <c r="C41" s="278" t="s">
        <v>177</v>
      </c>
      <c r="D41" s="174"/>
      <c r="E41" s="174"/>
      <c r="F41" s="174"/>
      <c r="G41" s="245" t="s">
        <v>178</v>
      </c>
      <c r="H41" s="177" t="s">
        <v>157</v>
      </c>
      <c r="I41" s="177" t="s">
        <v>179</v>
      </c>
      <c r="J41" s="177" t="s">
        <v>3</v>
      </c>
      <c r="K41" s="177" t="s">
        <v>68</v>
      </c>
      <c r="L41" s="178">
        <v>1206.4100000000001</v>
      </c>
      <c r="M41" s="242">
        <v>0.34710000000000002</v>
      </c>
      <c r="N41" s="178"/>
      <c r="O41" s="178"/>
      <c r="P41" s="178"/>
      <c r="Q41" s="178" t="s">
        <v>51</v>
      </c>
      <c r="R41" s="178"/>
      <c r="S41" s="178"/>
      <c r="T41" s="178"/>
      <c r="U41" s="178">
        <f>(Table1[[#This Row],[Invoice Date]]-Table1[[#This Row],[Month]])/7</f>
        <v>18.714285714285715</v>
      </c>
      <c r="V41" s="178"/>
      <c r="W41" s="178">
        <f t="shared" si="4"/>
        <v>0</v>
      </c>
      <c r="X41" s="178"/>
      <c r="Y41" s="178"/>
      <c r="Z41" s="178"/>
      <c r="AA41" s="178"/>
      <c r="AB41" s="178"/>
      <c r="AC41" s="178"/>
      <c r="AD41" s="193"/>
      <c r="AE41" s="193"/>
      <c r="AF41" s="178"/>
      <c r="AG41" s="178" t="s">
        <v>52</v>
      </c>
      <c r="AH41" s="179">
        <v>1</v>
      </c>
      <c r="AI41" s="193"/>
      <c r="AJ41" s="178" t="s">
        <v>93</v>
      </c>
      <c r="AK41" s="178">
        <f>+Table1[[#This Row],[PO Amount]]</f>
        <v>1206.4100000000001</v>
      </c>
      <c r="AL41" s="244">
        <v>45910</v>
      </c>
      <c r="AM41" s="215">
        <f>(Table1[[#This Row],[Invoice Date]]-Table1[[#This Row],[Month]])/7</f>
        <v>18.714285714285715</v>
      </c>
      <c r="AN41" s="229">
        <v>30</v>
      </c>
      <c r="AO41" s="263">
        <f t="shared" si="3"/>
        <v>45940</v>
      </c>
      <c r="AP41" s="178" t="s">
        <v>53</v>
      </c>
      <c r="AQ41" s="201" t="str">
        <f ca="1">IF(AND(AO41&lt;TODAY(),Table1[[#This Row],[Payment Status]]="Pending"),"Past Due", "OK")</f>
        <v>Past Due</v>
      </c>
      <c r="AR41" s="220"/>
    </row>
    <row r="42" spans="1:44" ht="25.5">
      <c r="A42" s="173">
        <v>45779</v>
      </c>
      <c r="B42" s="174" t="s">
        <v>63</v>
      </c>
      <c r="C42" s="278" t="s">
        <v>177</v>
      </c>
      <c r="D42" s="174"/>
      <c r="E42" s="174"/>
      <c r="F42" s="174"/>
      <c r="G42" s="245" t="s">
        <v>180</v>
      </c>
      <c r="H42" s="177" t="s">
        <v>157</v>
      </c>
      <c r="I42" s="177" t="s">
        <v>179</v>
      </c>
      <c r="J42" s="177" t="s">
        <v>3</v>
      </c>
      <c r="K42" s="177" t="s">
        <v>68</v>
      </c>
      <c r="L42" s="178">
        <v>1206.4100000000001</v>
      </c>
      <c r="M42" s="242">
        <v>0.34710000000000002</v>
      </c>
      <c r="N42" s="178"/>
      <c r="O42" s="178"/>
      <c r="P42" s="178"/>
      <c r="Q42" s="178" t="s">
        <v>51</v>
      </c>
      <c r="R42" s="178"/>
      <c r="S42" s="178"/>
      <c r="T42" s="178"/>
      <c r="U42" s="178">
        <f>(Table1[[#This Row],[Invoice Date]]-Table1[[#This Row],[Month]])/7</f>
        <v>-6539.8571428571431</v>
      </c>
      <c r="V42" s="178"/>
      <c r="W42" s="178">
        <f t="shared" si="4"/>
        <v>0</v>
      </c>
      <c r="X42" s="178"/>
      <c r="Y42" s="178"/>
      <c r="Z42" s="178"/>
      <c r="AA42" s="178"/>
      <c r="AB42" s="178"/>
      <c r="AC42" s="178"/>
      <c r="AD42" s="193"/>
      <c r="AE42" s="193"/>
      <c r="AF42" s="178"/>
      <c r="AG42" s="178" t="s">
        <v>52</v>
      </c>
      <c r="AH42" s="179">
        <v>1</v>
      </c>
      <c r="AI42" s="193"/>
      <c r="AJ42" s="178" t="s">
        <v>93</v>
      </c>
      <c r="AK42" s="178">
        <f>+Table1[[#This Row],[PO Amount]]</f>
        <v>1206.4100000000001</v>
      </c>
      <c r="AL42" s="244"/>
      <c r="AM42" s="220">
        <f>+Table1[[#This Row],[Invoice Date]]-Table1[[#This Row],[Month]]</f>
        <v>-45779</v>
      </c>
      <c r="AN42" s="229"/>
      <c r="AO42" s="244"/>
      <c r="AP42" s="178"/>
      <c r="AQ42" s="178"/>
      <c r="AR42" s="244"/>
    </row>
    <row r="43" spans="1:44">
      <c r="A43" s="173">
        <v>45779</v>
      </c>
      <c r="B43" s="174" t="s">
        <v>63</v>
      </c>
      <c r="C43" s="278" t="s">
        <v>177</v>
      </c>
      <c r="D43" s="174"/>
      <c r="E43" s="174"/>
      <c r="F43" s="174"/>
      <c r="G43" s="245" t="s">
        <v>178</v>
      </c>
      <c r="H43" s="177" t="s">
        <v>157</v>
      </c>
      <c r="I43" s="177" t="s">
        <v>179</v>
      </c>
      <c r="J43" s="177" t="s">
        <v>3</v>
      </c>
      <c r="K43" s="177" t="s">
        <v>68</v>
      </c>
      <c r="L43" s="178">
        <v>2814.95</v>
      </c>
      <c r="M43" s="242">
        <v>0.34710000000000002</v>
      </c>
      <c r="N43" s="178"/>
      <c r="O43" s="178"/>
      <c r="P43" s="178"/>
      <c r="Q43" s="178" t="s">
        <v>51</v>
      </c>
      <c r="R43" s="178"/>
      <c r="S43" s="178"/>
      <c r="T43" s="178"/>
      <c r="U43" s="178">
        <f>(Table1[[#This Row],[Invoice Date]]-Table1[[#This Row],[Month]])/7</f>
        <v>-6539.8571428571431</v>
      </c>
      <c r="V43" s="178"/>
      <c r="W43" s="178">
        <f t="shared" si="4"/>
        <v>0</v>
      </c>
      <c r="X43" s="178"/>
      <c r="Y43" s="178"/>
      <c r="Z43" s="178"/>
      <c r="AA43" s="178"/>
      <c r="AB43" s="178"/>
      <c r="AC43" s="178"/>
      <c r="AD43" s="193"/>
      <c r="AE43" s="193"/>
      <c r="AF43" s="178"/>
      <c r="AG43" s="178" t="s">
        <v>52</v>
      </c>
      <c r="AH43" s="179">
        <v>1</v>
      </c>
      <c r="AI43" s="193"/>
      <c r="AJ43" s="178" t="s">
        <v>93</v>
      </c>
      <c r="AK43" s="178">
        <f>+Table1[[#This Row],[PO Amount]]</f>
        <v>2814.95</v>
      </c>
      <c r="AL43" s="244"/>
      <c r="AM43" s="220">
        <f>+Table1[[#This Row],[Invoice Date]]-Table1[[#This Row],[Month]]</f>
        <v>-45779</v>
      </c>
      <c r="AN43" s="229"/>
      <c r="AO43" s="244"/>
      <c r="AP43" s="178"/>
      <c r="AQ43" s="178"/>
      <c r="AR43" s="244"/>
    </row>
    <row r="44" spans="1:44" ht="25.5">
      <c r="A44" s="173">
        <v>45779</v>
      </c>
      <c r="B44" s="174" t="s">
        <v>63</v>
      </c>
      <c r="C44" s="278" t="s">
        <v>177</v>
      </c>
      <c r="D44" s="174"/>
      <c r="E44" s="174"/>
      <c r="F44" s="174"/>
      <c r="G44" s="245" t="s">
        <v>180</v>
      </c>
      <c r="H44" s="177" t="s">
        <v>157</v>
      </c>
      <c r="I44" s="177" t="s">
        <v>179</v>
      </c>
      <c r="J44" s="177" t="s">
        <v>3</v>
      </c>
      <c r="K44" s="177" t="s">
        <v>68</v>
      </c>
      <c r="L44" s="178">
        <v>2814.95</v>
      </c>
      <c r="M44" s="242">
        <v>0.34710000000000002</v>
      </c>
      <c r="N44" s="178"/>
      <c r="O44" s="178"/>
      <c r="P44" s="178"/>
      <c r="Q44" s="178" t="s">
        <v>51</v>
      </c>
      <c r="R44" s="178"/>
      <c r="S44" s="178"/>
      <c r="T44" s="178"/>
      <c r="U44" s="178">
        <f>(Table1[[#This Row],[Invoice Date]]-Table1[[#This Row],[Month]])/7</f>
        <v>10</v>
      </c>
      <c r="V44" s="178"/>
      <c r="W44" s="178">
        <f t="shared" si="4"/>
        <v>0</v>
      </c>
      <c r="X44" s="178"/>
      <c r="Y44" s="178"/>
      <c r="Z44" s="178"/>
      <c r="AA44" s="178"/>
      <c r="AB44" s="178"/>
      <c r="AC44" s="178"/>
      <c r="AD44" s="193"/>
      <c r="AE44" s="193"/>
      <c r="AF44" s="178"/>
      <c r="AG44" s="178" t="s">
        <v>52</v>
      </c>
      <c r="AH44" s="179">
        <v>1</v>
      </c>
      <c r="AI44" s="193">
        <v>1196</v>
      </c>
      <c r="AJ44" s="178" t="s">
        <v>93</v>
      </c>
      <c r="AK44" s="178">
        <f>+Table1[[#This Row],[PO Amount]]</f>
        <v>2814.95</v>
      </c>
      <c r="AL44" s="244">
        <v>45849</v>
      </c>
      <c r="AM44" s="215">
        <f>(Table1[[#This Row],[Invoice Date]]-Table1[[#This Row],[Month]])/7</f>
        <v>10</v>
      </c>
      <c r="AN44" s="229">
        <v>30</v>
      </c>
      <c r="AO44" s="263">
        <f t="shared" si="3"/>
        <v>45879</v>
      </c>
      <c r="AP44" s="178" t="s">
        <v>94</v>
      </c>
      <c r="AQ44" s="201" t="str">
        <f ca="1">IF(AND(AO44&lt;TODAY(),Table1[[#This Row],[Payment Status]]="Pending"),"Past Due", "OK")</f>
        <v>OK</v>
      </c>
      <c r="AR44" s="244"/>
    </row>
    <row r="45" spans="1:44" ht="25.5">
      <c r="A45" s="173">
        <v>45751</v>
      </c>
      <c r="B45" s="174" t="s">
        <v>63</v>
      </c>
      <c r="C45" s="278" t="s">
        <v>181</v>
      </c>
      <c r="D45" s="174"/>
      <c r="E45" s="174"/>
      <c r="F45" s="174"/>
      <c r="G45" s="245" t="s">
        <v>182</v>
      </c>
      <c r="H45" s="177" t="s">
        <v>112</v>
      </c>
      <c r="I45" s="177" t="s">
        <v>113</v>
      </c>
      <c r="J45" s="177" t="s">
        <v>3</v>
      </c>
      <c r="K45" s="177" t="s">
        <v>50</v>
      </c>
      <c r="L45" s="178">
        <v>44359.47</v>
      </c>
      <c r="M45" s="179">
        <f>+Table1[[#This Row],[Quoted Rev]]/Table1[[#This Row],[PO Amount]]</f>
        <v>0.3041193235627026</v>
      </c>
      <c r="N45" s="178">
        <v>13490.57201</v>
      </c>
      <c r="O45" s="178">
        <f>+Table1[[#This Row],[PO Amount]]-Table1[[#This Row],[Quoted Rev]]</f>
        <v>30868.897990000001</v>
      </c>
      <c r="P45" s="178">
        <v>0</v>
      </c>
      <c r="Q45" s="178" t="s">
        <v>51</v>
      </c>
      <c r="R45" s="178"/>
      <c r="S45" s="178"/>
      <c r="T45" s="178"/>
      <c r="U45" s="178">
        <f>(Table1[[#This Row],[Invoice Date]]-Table1[[#This Row],[Month]])/7</f>
        <v>8.4285714285714288</v>
      </c>
      <c r="V45" s="178"/>
      <c r="W45" s="178">
        <f t="shared" si="4"/>
        <v>0</v>
      </c>
      <c r="X45" s="178"/>
      <c r="Y45" s="178"/>
      <c r="Z45" s="178"/>
      <c r="AA45" s="178"/>
      <c r="AB45" s="178"/>
      <c r="AC45" s="178"/>
      <c r="AD45" s="193"/>
      <c r="AE45" s="193"/>
      <c r="AF45" s="178"/>
      <c r="AG45" s="178" t="s">
        <v>52</v>
      </c>
      <c r="AH45" s="179">
        <v>1</v>
      </c>
      <c r="AI45" s="193">
        <v>1180</v>
      </c>
      <c r="AJ45" s="178" t="s">
        <v>93</v>
      </c>
      <c r="AK45" s="178">
        <f>+Table1[[#This Row],[PO Amount]]</f>
        <v>44359.47</v>
      </c>
      <c r="AL45" s="244">
        <v>45810</v>
      </c>
      <c r="AM45" s="215">
        <f>(Table1[[#This Row],[Invoice Date]]-Table1[[#This Row],[Month]])/7</f>
        <v>8.4285714285714288</v>
      </c>
      <c r="AN45" s="229">
        <v>30</v>
      </c>
      <c r="AO45" s="263">
        <f t="shared" si="3"/>
        <v>45840</v>
      </c>
      <c r="AP45" s="178" t="s">
        <v>94</v>
      </c>
      <c r="AQ45" s="201" t="str">
        <f ca="1">IF(AND(AO45&lt;TODAY(),Table1[[#This Row],[Payment Status]]="Pending"),"Past Due", "OK")</f>
        <v>OK</v>
      </c>
      <c r="AR45" s="244"/>
    </row>
    <row r="46" spans="1:44">
      <c r="A46" s="173">
        <v>45755</v>
      </c>
      <c r="B46" s="174" t="s">
        <v>57</v>
      </c>
      <c r="C46" s="278" t="s">
        <v>183</v>
      </c>
      <c r="D46" s="174"/>
      <c r="E46" s="174"/>
      <c r="F46" s="174"/>
      <c r="G46" s="245" t="s">
        <v>184</v>
      </c>
      <c r="H46" s="177" t="s">
        <v>185</v>
      </c>
      <c r="I46" s="177" t="s">
        <v>186</v>
      </c>
      <c r="J46" s="177" t="s">
        <v>49</v>
      </c>
      <c r="K46" s="177" t="s">
        <v>50</v>
      </c>
      <c r="L46" s="178">
        <v>151735.89000000001</v>
      </c>
      <c r="M46" s="179">
        <v>0.37</v>
      </c>
      <c r="N46" s="178">
        <f>+Table1[[#This Row],[PO Amount]]*Table1[[#This Row],[Theorical Margen]]</f>
        <v>56142.279300000002</v>
      </c>
      <c r="O46" s="178">
        <f>+Table1[[#This Row],[PO Amount]]-Table1[[#This Row],[Quoted Rev]]</f>
        <v>95593.610700000019</v>
      </c>
      <c r="P46" s="178">
        <v>0</v>
      </c>
      <c r="Q46" s="178" t="s">
        <v>51</v>
      </c>
      <c r="R46" s="178"/>
      <c r="S46" s="178"/>
      <c r="T46" s="178"/>
      <c r="U46" s="178">
        <f>(Table1[[#This Row],[Invoice Date]]-Table1[[#This Row],[Month]])/7</f>
        <v>-6536.4285714285716</v>
      </c>
      <c r="V46" s="178"/>
      <c r="W46" s="178">
        <f t="shared" si="4"/>
        <v>0</v>
      </c>
      <c r="X46" s="178"/>
      <c r="Y46" s="178"/>
      <c r="Z46" s="178"/>
      <c r="AA46" s="178"/>
      <c r="AB46" s="178"/>
      <c r="AC46" s="178"/>
      <c r="AD46" s="193"/>
      <c r="AE46" s="193"/>
      <c r="AF46" s="178"/>
      <c r="AG46" s="178" t="s">
        <v>52</v>
      </c>
      <c r="AH46" s="179">
        <v>1</v>
      </c>
      <c r="AI46" s="193"/>
      <c r="AJ46" s="178" t="s">
        <v>53</v>
      </c>
      <c r="AK46" s="178"/>
      <c r="AL46" s="244"/>
      <c r="AM46" s="215">
        <f>(Table1[[#This Row],[Invoice Date]]-Table1[[#This Row],[Month]])/7</f>
        <v>-6536.4285714285716</v>
      </c>
      <c r="AN46" s="229">
        <v>30</v>
      </c>
      <c r="AO46" s="263">
        <f t="shared" si="3"/>
        <v>30</v>
      </c>
      <c r="AP46" s="178" t="s">
        <v>53</v>
      </c>
      <c r="AQ46" s="201" t="str">
        <f ca="1">IF(AND(AO46&lt;TODAY(),Table1[[#This Row],[Payment Status]]="Pending"),"Past Due", "OK")</f>
        <v>Past Due</v>
      </c>
      <c r="AR46" s="220">
        <v>46045</v>
      </c>
    </row>
    <row r="47" spans="1:44">
      <c r="A47" s="173">
        <v>45755</v>
      </c>
      <c r="B47" s="174" t="s">
        <v>57</v>
      </c>
      <c r="C47" s="278" t="s">
        <v>183</v>
      </c>
      <c r="D47" s="174"/>
      <c r="E47" s="174"/>
      <c r="F47" s="174"/>
      <c r="G47" s="245" t="s">
        <v>184</v>
      </c>
      <c r="H47" s="177" t="s">
        <v>185</v>
      </c>
      <c r="I47" s="177" t="s">
        <v>186</v>
      </c>
      <c r="J47" s="177" t="s">
        <v>49</v>
      </c>
      <c r="K47" s="177" t="s">
        <v>50</v>
      </c>
      <c r="L47" s="178">
        <f>151735.89*0.3</f>
        <v>45520.767</v>
      </c>
      <c r="M47" s="179">
        <v>0.37</v>
      </c>
      <c r="N47" s="178">
        <f>+Table1[[#This Row],[PO Amount]]*Table1[[#This Row],[Theorical Margen]]</f>
        <v>16842.683789999999</v>
      </c>
      <c r="O47" s="178">
        <f>+Table1[[#This Row],[PO Amount]]-Table1[[#This Row],[Quoted Rev]]</f>
        <v>28678.083210000001</v>
      </c>
      <c r="P47" s="178">
        <v>0</v>
      </c>
      <c r="Q47" s="178" t="s">
        <v>51</v>
      </c>
      <c r="R47" s="178"/>
      <c r="S47" s="178"/>
      <c r="T47" s="178"/>
      <c r="U47" s="178">
        <f>(Table1[[#This Row],[Invoice Date]]-Table1[[#This Row],[Month]])/7</f>
        <v>0.14285714285714285</v>
      </c>
      <c r="V47" s="178"/>
      <c r="W47" s="178">
        <f t="shared" si="4"/>
        <v>0</v>
      </c>
      <c r="X47" s="178"/>
      <c r="Y47" s="178"/>
      <c r="Z47" s="178"/>
      <c r="AA47" s="178"/>
      <c r="AB47" s="178"/>
      <c r="AC47" s="178"/>
      <c r="AD47" s="193"/>
      <c r="AE47" s="193"/>
      <c r="AF47" s="178"/>
      <c r="AG47" s="178" t="s">
        <v>98</v>
      </c>
      <c r="AH47" s="179">
        <v>0.3</v>
      </c>
      <c r="AI47" s="274">
        <v>1162</v>
      </c>
      <c r="AJ47" s="178" t="s">
        <v>150</v>
      </c>
      <c r="AK47" s="178">
        <f>+Table1[[#This Row],[PO Amount]]</f>
        <v>45520.767</v>
      </c>
      <c r="AL47" s="275">
        <v>45756</v>
      </c>
      <c r="AM47" s="215">
        <f>(Table1[[#This Row],[Invoice Date]]-Table1[[#This Row],[Month]])/7</f>
        <v>0.14285714285714285</v>
      </c>
      <c r="AN47" s="229">
        <v>30</v>
      </c>
      <c r="AO47" s="263">
        <f t="shared" si="3"/>
        <v>45786</v>
      </c>
      <c r="AP47" s="178" t="s">
        <v>53</v>
      </c>
      <c r="AQ47" s="201" t="str">
        <f ca="1">IF(AND(AO47&lt;TODAY(),Table1[[#This Row],[Payment Status]]="Pending"),"Past Due", "OK")</f>
        <v>Past Due</v>
      </c>
      <c r="AR47" s="220"/>
    </row>
    <row r="48" spans="1:44">
      <c r="A48" s="173">
        <v>45755</v>
      </c>
      <c r="B48" s="174" t="s">
        <v>57</v>
      </c>
      <c r="C48" s="278" t="s">
        <v>183</v>
      </c>
      <c r="D48" s="174"/>
      <c r="E48" s="174"/>
      <c r="F48" s="174"/>
      <c r="G48" s="245" t="s">
        <v>184</v>
      </c>
      <c r="H48" s="177" t="s">
        <v>185</v>
      </c>
      <c r="I48" s="177" t="s">
        <v>186</v>
      </c>
      <c r="J48" s="177" t="s">
        <v>49</v>
      </c>
      <c r="K48" s="177" t="s">
        <v>50</v>
      </c>
      <c r="L48" s="178">
        <f>151735.89*0.3</f>
        <v>45520.767</v>
      </c>
      <c r="M48" s="179">
        <v>0.37</v>
      </c>
      <c r="N48" s="178">
        <f>+Table1[[#This Row],[PO Amount]]*Table1[[#This Row],[Theorical Margen]]</f>
        <v>16842.683789999999</v>
      </c>
      <c r="O48" s="178">
        <f>+Table1[[#This Row],[PO Amount]]-Table1[[#This Row],[Quoted Rev]]</f>
        <v>28678.083210000001</v>
      </c>
      <c r="P48" s="178">
        <v>0</v>
      </c>
      <c r="Q48" s="178" t="s">
        <v>51</v>
      </c>
      <c r="R48" s="178"/>
      <c r="S48" s="178"/>
      <c r="T48" s="178"/>
      <c r="U48" s="178">
        <f>(Table1[[#This Row],[Invoice Date]]-Table1[[#This Row],[Month]])/7</f>
        <v>-6536.4285714285716</v>
      </c>
      <c r="V48" s="178"/>
      <c r="W48" s="178">
        <f t="shared" ref="W48:W50" si="5">T48+V48</f>
        <v>0</v>
      </c>
      <c r="X48" s="178"/>
      <c r="Y48" s="178"/>
      <c r="Z48" s="178"/>
      <c r="AA48" s="178"/>
      <c r="AB48" s="178"/>
      <c r="AC48" s="178"/>
      <c r="AD48" s="193"/>
      <c r="AE48" s="193"/>
      <c r="AF48" s="178"/>
      <c r="AG48" s="178" t="s">
        <v>187</v>
      </c>
      <c r="AH48" s="179">
        <v>0.3</v>
      </c>
      <c r="AI48" s="193"/>
      <c r="AJ48" s="178" t="s">
        <v>53</v>
      </c>
      <c r="AK48" s="178">
        <f>+Table1[[#This Row],[PO Amount]]</f>
        <v>45520.767</v>
      </c>
      <c r="AL48" s="244"/>
      <c r="AM48" s="215">
        <f>(Table1[[#This Row],[Invoice Date]]-Table1[[#This Row],[Month]])/7</f>
        <v>-6536.4285714285716</v>
      </c>
      <c r="AN48" s="229">
        <v>30</v>
      </c>
      <c r="AO48" s="263">
        <f t="shared" ref="AO48:AO50" si="6">AL48+AN48</f>
        <v>30</v>
      </c>
      <c r="AP48" s="178" t="s">
        <v>53</v>
      </c>
      <c r="AQ48" s="201" t="str">
        <f ca="1">IF(AND(AO48&lt;TODAY(),Table1[[#This Row],[Payment Status]]="Pending"),"Past Due", "OK")</f>
        <v>Past Due</v>
      </c>
      <c r="AR48" s="220"/>
    </row>
    <row r="49" spans="1:44">
      <c r="A49" s="173">
        <v>45755</v>
      </c>
      <c r="B49" s="174" t="s">
        <v>57</v>
      </c>
      <c r="C49" s="278" t="s">
        <v>183</v>
      </c>
      <c r="D49" s="174"/>
      <c r="E49" s="174"/>
      <c r="F49" s="174"/>
      <c r="G49" s="245" t="s">
        <v>184</v>
      </c>
      <c r="H49" s="177" t="s">
        <v>185</v>
      </c>
      <c r="I49" s="177" t="s">
        <v>186</v>
      </c>
      <c r="J49" s="177" t="s">
        <v>49</v>
      </c>
      <c r="K49" s="177" t="s">
        <v>50</v>
      </c>
      <c r="L49" s="178">
        <f>151735.89*0.2</f>
        <v>30347.178000000004</v>
      </c>
      <c r="M49" s="179">
        <v>0.37</v>
      </c>
      <c r="N49" s="178">
        <f>+Table1[[#This Row],[PO Amount]]*Table1[[#This Row],[Theorical Margen]]</f>
        <v>11228.455860000002</v>
      </c>
      <c r="O49" s="178">
        <f>+Table1[[#This Row],[PO Amount]]-Table1[[#This Row],[Quoted Rev]]</f>
        <v>19118.722140000002</v>
      </c>
      <c r="P49" s="178">
        <v>0</v>
      </c>
      <c r="Q49" s="178" t="s">
        <v>51</v>
      </c>
      <c r="R49" s="178"/>
      <c r="S49" s="178"/>
      <c r="T49" s="178"/>
      <c r="U49" s="178">
        <f>(Table1[[#This Row],[Invoice Date]]-Table1[[#This Row],[Month]])/7</f>
        <v>-6536.4285714285716</v>
      </c>
      <c r="V49" s="178"/>
      <c r="W49" s="178">
        <f t="shared" si="5"/>
        <v>0</v>
      </c>
      <c r="X49" s="178"/>
      <c r="Y49" s="178"/>
      <c r="Z49" s="178"/>
      <c r="AA49" s="178"/>
      <c r="AB49" s="178"/>
      <c r="AC49" s="178"/>
      <c r="AD49" s="193"/>
      <c r="AE49" s="193"/>
      <c r="AF49" s="178"/>
      <c r="AG49" s="178" t="s">
        <v>62</v>
      </c>
      <c r="AH49" s="179">
        <v>0.2</v>
      </c>
      <c r="AI49" s="193"/>
      <c r="AJ49" s="178" t="s">
        <v>53</v>
      </c>
      <c r="AK49" s="178">
        <f>+Table1[[#This Row],[PO Amount]]</f>
        <v>30347.178000000004</v>
      </c>
      <c r="AL49" s="244"/>
      <c r="AM49" s="215">
        <f>(Table1[[#This Row],[Invoice Date]]-Table1[[#This Row],[Month]])/7</f>
        <v>-6536.4285714285716</v>
      </c>
      <c r="AN49" s="229">
        <v>30</v>
      </c>
      <c r="AO49" s="263">
        <f t="shared" si="6"/>
        <v>30</v>
      </c>
      <c r="AP49" s="178" t="s">
        <v>53</v>
      </c>
      <c r="AQ49" s="201" t="str">
        <f ca="1">IF(AND(AO49&lt;TODAY(),Table1[[#This Row],[Payment Status]]="Pending"),"Past Due", "OK")</f>
        <v>Past Due</v>
      </c>
      <c r="AR49" s="220"/>
    </row>
    <row r="50" spans="1:44">
      <c r="A50" s="173">
        <v>45755</v>
      </c>
      <c r="B50" s="174" t="s">
        <v>57</v>
      </c>
      <c r="C50" s="278" t="s">
        <v>183</v>
      </c>
      <c r="D50" s="174"/>
      <c r="E50" s="174"/>
      <c r="F50" s="174"/>
      <c r="G50" s="245" t="s">
        <v>184</v>
      </c>
      <c r="H50" s="177" t="s">
        <v>185</v>
      </c>
      <c r="I50" s="177" t="s">
        <v>186</v>
      </c>
      <c r="J50" s="177" t="s">
        <v>49</v>
      </c>
      <c r="K50" s="177" t="s">
        <v>50</v>
      </c>
      <c r="L50" s="178">
        <f>151735.89*0.2</f>
        <v>30347.178000000004</v>
      </c>
      <c r="M50" s="179">
        <v>0.37</v>
      </c>
      <c r="N50" s="178">
        <f>+Table1[[#This Row],[PO Amount]]*Table1[[#This Row],[Theorical Margen]]</f>
        <v>11228.455860000002</v>
      </c>
      <c r="O50" s="178">
        <f>+Table1[[#This Row],[PO Amount]]-Table1[[#This Row],[Quoted Rev]]</f>
        <v>19118.722140000002</v>
      </c>
      <c r="P50" s="178">
        <v>0</v>
      </c>
      <c r="Q50" s="178" t="s">
        <v>51</v>
      </c>
      <c r="R50" s="178"/>
      <c r="S50" s="178"/>
      <c r="T50" s="178"/>
      <c r="U50" s="178">
        <f>(Table1[[#This Row],[Invoice Date]]-Table1[[#This Row],[Month]])/7</f>
        <v>-6536.4285714285716</v>
      </c>
      <c r="V50" s="178"/>
      <c r="W50" s="178">
        <f t="shared" si="5"/>
        <v>0</v>
      </c>
      <c r="X50" s="178"/>
      <c r="Y50" s="178"/>
      <c r="Z50" s="178"/>
      <c r="AA50" s="178"/>
      <c r="AB50" s="178"/>
      <c r="AC50" s="178"/>
      <c r="AD50" s="193"/>
      <c r="AE50" s="193"/>
      <c r="AF50" s="178"/>
      <c r="AG50" s="178" t="s">
        <v>86</v>
      </c>
      <c r="AH50" s="179">
        <v>0.2</v>
      </c>
      <c r="AI50" s="193"/>
      <c r="AJ50" s="178" t="s">
        <v>53</v>
      </c>
      <c r="AK50" s="178">
        <f>+Table1[[#This Row],[PO Amount]]</f>
        <v>30347.178000000004</v>
      </c>
      <c r="AL50" s="244"/>
      <c r="AM50" s="215">
        <f>(Table1[[#This Row],[Invoice Date]]-Table1[[#This Row],[Month]])/7</f>
        <v>-6536.4285714285716</v>
      </c>
      <c r="AN50" s="229">
        <v>30</v>
      </c>
      <c r="AO50" s="263">
        <f t="shared" si="6"/>
        <v>30</v>
      </c>
      <c r="AP50" s="178" t="s">
        <v>53</v>
      </c>
      <c r="AQ50" s="201" t="str">
        <f ca="1">IF(AND(AO50&lt;TODAY(),Table1[[#This Row],[Payment Status]]="Pending"),"Past Due", "OK")</f>
        <v>Past Due</v>
      </c>
      <c r="AR50" s="220"/>
    </row>
    <row r="51" spans="1:44">
      <c r="A51" s="173">
        <v>45757</v>
      </c>
      <c r="B51" s="174" t="s">
        <v>63</v>
      </c>
      <c r="C51" s="278" t="s">
        <v>188</v>
      </c>
      <c r="D51" s="174"/>
      <c r="E51" s="174"/>
      <c r="F51" s="174"/>
      <c r="G51" s="245" t="s">
        <v>189</v>
      </c>
      <c r="H51" s="177" t="s">
        <v>47</v>
      </c>
      <c r="I51" s="177" t="s">
        <v>48</v>
      </c>
      <c r="J51" s="177" t="s">
        <v>49</v>
      </c>
      <c r="K51" s="177" t="s">
        <v>50</v>
      </c>
      <c r="L51" s="178">
        <v>40574.14</v>
      </c>
      <c r="M51" s="179">
        <v>0.36609999999999998</v>
      </c>
      <c r="N51" s="178"/>
      <c r="O51" s="178"/>
      <c r="P51" s="178"/>
      <c r="Q51" s="178" t="s">
        <v>51</v>
      </c>
      <c r="R51" s="178"/>
      <c r="S51" s="178"/>
      <c r="T51" s="220"/>
      <c r="U51" s="193">
        <f>(Table1[[#This Row],[Invoice Date]]-Table1[[#This Row],[Month]])/7</f>
        <v>34.142857142857146</v>
      </c>
      <c r="V51" s="229"/>
      <c r="W51" s="220">
        <f>T51+V51</f>
        <v>0</v>
      </c>
      <c r="X51" s="178"/>
      <c r="Y51" s="178"/>
      <c r="Z51" s="244"/>
      <c r="AA51" s="178"/>
      <c r="AB51" s="178"/>
      <c r="AC51" s="178"/>
      <c r="AD51" s="193"/>
      <c r="AE51" s="193"/>
      <c r="AF51" s="178"/>
      <c r="AG51" s="178" t="s">
        <v>52</v>
      </c>
      <c r="AH51" s="179">
        <v>1</v>
      </c>
      <c r="AI51" s="193"/>
      <c r="AJ51" s="178" t="s">
        <v>53</v>
      </c>
      <c r="AK51" s="178">
        <f>+Table1[[#This Row],[PO Amount]]</f>
        <v>40574.14</v>
      </c>
      <c r="AL51" s="244">
        <v>45996</v>
      </c>
      <c r="AM51" s="215">
        <f>(Table1[[#This Row],[Invoice Date]]-Table1[[#This Row],[Month]])/7</f>
        <v>34.142857142857146</v>
      </c>
      <c r="AN51" s="229">
        <v>30</v>
      </c>
      <c r="AO51" s="263">
        <f t="shared" si="3"/>
        <v>46026</v>
      </c>
      <c r="AP51" s="178" t="s">
        <v>53</v>
      </c>
      <c r="AQ51" s="178"/>
      <c r="AR51" s="220">
        <v>45989</v>
      </c>
    </row>
    <row r="52" spans="1:44">
      <c r="A52" s="173">
        <v>45757</v>
      </c>
      <c r="B52" s="174" t="s">
        <v>44</v>
      </c>
      <c r="C52" s="278" t="s">
        <v>190</v>
      </c>
      <c r="D52" s="174"/>
      <c r="E52" s="174"/>
      <c r="F52" s="174"/>
      <c r="G52" s="245" t="s">
        <v>189</v>
      </c>
      <c r="H52" s="177" t="s">
        <v>47</v>
      </c>
      <c r="I52" s="177" t="s">
        <v>48</v>
      </c>
      <c r="J52" s="177" t="s">
        <v>49</v>
      </c>
      <c r="K52" s="177" t="s">
        <v>50</v>
      </c>
      <c r="L52" s="178">
        <v>20510.75</v>
      </c>
      <c r="M52" s="179">
        <f>+Table1[[#This Row],[Quoted Rev]]/Table1[[#This Row],[PO Amount]]</f>
        <v>0.47196518898626333</v>
      </c>
      <c r="N52" s="178">
        <v>9680.36</v>
      </c>
      <c r="O52" s="178">
        <f>+Table1[[#This Row],[PO Amount]]-Table1[[#This Row],[Quoted Rev]]</f>
        <v>10830.39</v>
      </c>
      <c r="P52" s="178">
        <v>0</v>
      </c>
      <c r="Q52" s="178" t="s">
        <v>51</v>
      </c>
      <c r="R52" s="178"/>
      <c r="S52" s="178"/>
      <c r="T52" s="178"/>
      <c r="U52" s="178">
        <f>(Table1[[#This Row],[Invoice Date]]-Table1[[#This Row],[Month]])/7</f>
        <v>36.142857142857146</v>
      </c>
      <c r="V52" s="178"/>
      <c r="W52" s="178">
        <f t="shared" si="4"/>
        <v>0</v>
      </c>
      <c r="X52" s="178"/>
      <c r="Y52" s="178"/>
      <c r="Z52" s="178"/>
      <c r="AA52" s="178"/>
      <c r="AB52" s="178"/>
      <c r="AC52" s="178"/>
      <c r="AD52" s="193"/>
      <c r="AE52" s="193"/>
      <c r="AF52" s="178"/>
      <c r="AG52" s="178" t="s">
        <v>52</v>
      </c>
      <c r="AH52" s="179">
        <v>1</v>
      </c>
      <c r="AI52" s="193"/>
      <c r="AJ52" s="178" t="s">
        <v>53</v>
      </c>
      <c r="AK52" s="178">
        <f>+Table1[[#This Row],[PO Amount]]</f>
        <v>20510.75</v>
      </c>
      <c r="AL52" s="244">
        <v>46010</v>
      </c>
      <c r="AM52" s="215">
        <f>(Table1[[#This Row],[Invoice Date]]-Table1[[#This Row],[Month]])/7</f>
        <v>36.142857142857146</v>
      </c>
      <c r="AN52" s="229">
        <v>30</v>
      </c>
      <c r="AO52" s="263">
        <f t="shared" si="3"/>
        <v>46040</v>
      </c>
      <c r="AP52" s="178" t="s">
        <v>53</v>
      </c>
      <c r="AQ52" s="201" t="str">
        <f ca="1">IF(AND(AO52&lt;TODAY(),Table1[[#This Row],[Payment Status]]="Pending"),"Past Due", "OK")</f>
        <v>OK</v>
      </c>
      <c r="AR52" s="220">
        <v>45980</v>
      </c>
    </row>
    <row r="53" spans="1:44" ht="25.5">
      <c r="A53" s="173">
        <v>45757</v>
      </c>
      <c r="B53" s="174" t="s">
        <v>44</v>
      </c>
      <c r="C53" s="278" t="s">
        <v>45</v>
      </c>
      <c r="D53" s="174"/>
      <c r="E53" s="174"/>
      <c r="F53" s="174"/>
      <c r="G53" s="245" t="s">
        <v>46</v>
      </c>
      <c r="H53" s="177" t="s">
        <v>47</v>
      </c>
      <c r="I53" s="177" t="s">
        <v>48</v>
      </c>
      <c r="J53" s="177" t="s">
        <v>49</v>
      </c>
      <c r="K53" s="177" t="s">
        <v>50</v>
      </c>
      <c r="L53" s="178">
        <v>27311.23</v>
      </c>
      <c r="M53" s="179">
        <f>+Table1[[#This Row],[Quoted Rev]]/Table1[[#This Row],[PO Amount]]</f>
        <v>0.38877194472749854</v>
      </c>
      <c r="N53" s="178">
        <v>10617.84</v>
      </c>
      <c r="O53" s="178">
        <f>+Table1[[#This Row],[PO Amount]]-Table1[[#This Row],[Quoted Rev]]</f>
        <v>16693.39</v>
      </c>
      <c r="P53" s="178">
        <v>0</v>
      </c>
      <c r="Q53" s="178" t="s">
        <v>51</v>
      </c>
      <c r="R53" s="178"/>
      <c r="S53" s="178"/>
      <c r="T53" s="178"/>
      <c r="U53" s="178">
        <f>(Table1[[#This Row],[Invoice Date]]-Table1[[#This Row],[Month]])/7</f>
        <v>25.857142857142858</v>
      </c>
      <c r="V53" s="178"/>
      <c r="W53" s="178">
        <f t="shared" si="4"/>
        <v>0</v>
      </c>
      <c r="X53" s="178"/>
      <c r="Y53" s="178"/>
      <c r="Z53" s="178"/>
      <c r="AA53" s="178"/>
      <c r="AB53" s="178"/>
      <c r="AC53" s="178"/>
      <c r="AD53" s="193"/>
      <c r="AE53" s="193"/>
      <c r="AF53" s="178"/>
      <c r="AG53" s="178" t="s">
        <v>52</v>
      </c>
      <c r="AH53" s="179">
        <v>1</v>
      </c>
      <c r="AI53" s="193">
        <v>1221</v>
      </c>
      <c r="AJ53" s="178" t="s">
        <v>150</v>
      </c>
      <c r="AK53" s="178">
        <f>+Table1[[#This Row],[PO Amount]]</f>
        <v>27311.23</v>
      </c>
      <c r="AL53" s="244">
        <v>45938</v>
      </c>
      <c r="AM53" s="215">
        <f>(Table1[[#This Row],[Invoice Date]]-Table1[[#This Row],[Month]])/7</f>
        <v>25.857142857142858</v>
      </c>
      <c r="AN53" s="229">
        <v>30</v>
      </c>
      <c r="AO53" s="263">
        <f t="shared" si="3"/>
        <v>45968</v>
      </c>
      <c r="AP53" s="178" t="s">
        <v>53</v>
      </c>
      <c r="AQ53" s="201" t="str">
        <f ca="1">IF(AND(AO53&lt;TODAY(),Table1[[#This Row],[Payment Status]]="Pending"),"Past Due", "OK")</f>
        <v>Past Due</v>
      </c>
      <c r="AR53" s="220">
        <v>45884</v>
      </c>
    </row>
    <row r="54" spans="1:44" ht="25.5">
      <c r="A54" s="173">
        <v>45750</v>
      </c>
      <c r="B54" s="174" t="s">
        <v>191</v>
      </c>
      <c r="C54" s="278" t="s">
        <v>192</v>
      </c>
      <c r="D54" s="174"/>
      <c r="E54" s="174"/>
      <c r="F54" s="174"/>
      <c r="G54" s="245" t="s">
        <v>193</v>
      </c>
      <c r="H54" s="177" t="s">
        <v>194</v>
      </c>
      <c r="I54" s="177" t="s">
        <v>113</v>
      </c>
      <c r="J54" s="177" t="s">
        <v>3</v>
      </c>
      <c r="K54" s="177" t="s">
        <v>195</v>
      </c>
      <c r="L54" s="178">
        <v>11939.63</v>
      </c>
      <c r="M54" s="179">
        <f>+Table1[[#This Row],[Quoted Rev]]/Table1[[#This Row],[PO Amount]]</f>
        <v>0.25126406764698739</v>
      </c>
      <c r="N54" s="178">
        <v>3000</v>
      </c>
      <c r="O54" s="178">
        <f>+Table1[[#This Row],[PO Amount]]-Table1[[#This Row],[Quoted Rev]]</f>
        <v>8939.6299999999992</v>
      </c>
      <c r="P54" s="178">
        <v>0</v>
      </c>
      <c r="Q54" s="178" t="s">
        <v>51</v>
      </c>
      <c r="R54" s="178"/>
      <c r="S54" s="178"/>
      <c r="T54" s="178"/>
      <c r="U54" s="178">
        <f>(Table1[[#This Row],[Invoice Date]]-Table1[[#This Row],[Month]])/7</f>
        <v>4.1428571428571432</v>
      </c>
      <c r="V54" s="178"/>
      <c r="W54" s="178">
        <f t="shared" si="4"/>
        <v>0</v>
      </c>
      <c r="X54" s="178"/>
      <c r="Y54" s="178"/>
      <c r="Z54" s="178"/>
      <c r="AA54" s="178"/>
      <c r="AB54" s="178"/>
      <c r="AC54" s="178"/>
      <c r="AD54" s="193"/>
      <c r="AE54" s="193"/>
      <c r="AF54" s="178"/>
      <c r="AG54" s="178" t="s">
        <v>52</v>
      </c>
      <c r="AH54" s="179">
        <v>1</v>
      </c>
      <c r="AI54" s="193" t="s">
        <v>196</v>
      </c>
      <c r="AJ54" s="178" t="s">
        <v>93</v>
      </c>
      <c r="AK54" s="178">
        <f>+Table1[[#This Row],[PO Amount]]</f>
        <v>11939.63</v>
      </c>
      <c r="AL54" s="244">
        <v>45779</v>
      </c>
      <c r="AM54" s="215">
        <f>(Table1[[#This Row],[Invoice Date]]-Table1[[#This Row],[Month]])/7</f>
        <v>4.1428571428571432</v>
      </c>
      <c r="AN54" s="229">
        <v>30</v>
      </c>
      <c r="AO54" s="263">
        <f t="shared" si="3"/>
        <v>45809</v>
      </c>
      <c r="AP54" s="178" t="s">
        <v>53</v>
      </c>
      <c r="AQ54" s="201" t="str">
        <f ca="1">IF(AND(AO54&lt;TODAY(),Table1[[#This Row],[Payment Status]]="Pending"),"Past Due", "OK")</f>
        <v>Past Due</v>
      </c>
      <c r="AR54" s="220"/>
    </row>
    <row r="55" spans="1:44">
      <c r="A55" s="173">
        <v>45758</v>
      </c>
      <c r="B55" s="174" t="s">
        <v>57</v>
      </c>
      <c r="C55" s="278" t="s">
        <v>197</v>
      </c>
      <c r="D55" s="174"/>
      <c r="E55" s="174"/>
      <c r="F55" s="174"/>
      <c r="G55" s="245" t="s">
        <v>198</v>
      </c>
      <c r="H55" s="177" t="s">
        <v>199</v>
      </c>
      <c r="I55" s="177" t="s">
        <v>200</v>
      </c>
      <c r="J55" s="177" t="s">
        <v>3</v>
      </c>
      <c r="K55" s="177" t="s">
        <v>50</v>
      </c>
      <c r="L55" s="178">
        <v>41300</v>
      </c>
      <c r="M55" s="179">
        <f>+Table1[[#This Row],[Quoted Rev]]/Table1[[#This Row],[PO Amount]]</f>
        <v>0.20682929782082324</v>
      </c>
      <c r="N55" s="178">
        <v>8542.0499999999993</v>
      </c>
      <c r="O55" s="178">
        <f>+Table1[[#This Row],[PO Amount]]-Table1[[#This Row],[Quoted Rev]]</f>
        <v>32757.95</v>
      </c>
      <c r="P55" s="178">
        <v>0</v>
      </c>
      <c r="Q55" s="178" t="s">
        <v>51</v>
      </c>
      <c r="R55" s="178"/>
      <c r="S55" s="178"/>
      <c r="T55" s="178"/>
      <c r="U55" s="178">
        <f>(Table1[[#This Row],[Invoice Date]]-Table1[[#This Row],[Month]])/7</f>
        <v>7</v>
      </c>
      <c r="V55" s="178"/>
      <c r="W55" s="178">
        <f t="shared" si="4"/>
        <v>0</v>
      </c>
      <c r="X55" s="178"/>
      <c r="Y55" s="178"/>
      <c r="Z55" s="178"/>
      <c r="AA55" s="178"/>
      <c r="AB55" s="178"/>
      <c r="AC55" s="178"/>
      <c r="AD55" s="193"/>
      <c r="AE55" s="193"/>
      <c r="AF55" s="178"/>
      <c r="AG55" s="178" t="s">
        <v>52</v>
      </c>
      <c r="AH55" s="179">
        <v>1</v>
      </c>
      <c r="AI55" s="193">
        <v>1181</v>
      </c>
      <c r="AJ55" s="178" t="s">
        <v>93</v>
      </c>
      <c r="AK55" s="178">
        <f>+Table1[[#This Row],[PO Amount]]</f>
        <v>41300</v>
      </c>
      <c r="AL55" s="244">
        <v>45807</v>
      </c>
      <c r="AM55" s="215">
        <f>(Table1[[#This Row],[Invoice Date]]-Table1[[#This Row],[Month]])/7</f>
        <v>7</v>
      </c>
      <c r="AN55" s="229">
        <v>60</v>
      </c>
      <c r="AO55" s="263">
        <f t="shared" si="3"/>
        <v>45867</v>
      </c>
      <c r="AP55" s="178" t="s">
        <v>53</v>
      </c>
      <c r="AQ55" s="201" t="str">
        <f ca="1">IF(AND(AO55&lt;TODAY(),Table1[[#This Row],[Payment Status]]="Pending"),"Past Due", "OK")</f>
        <v>Past Due</v>
      </c>
      <c r="AR55" s="220"/>
    </row>
    <row r="56" spans="1:44">
      <c r="A56" s="173">
        <v>45758</v>
      </c>
      <c r="B56" s="174" t="s">
        <v>57</v>
      </c>
      <c r="C56" s="278" t="s">
        <v>197</v>
      </c>
      <c r="D56" s="174"/>
      <c r="E56" s="174"/>
      <c r="F56" s="174"/>
      <c r="G56" s="245" t="s">
        <v>198</v>
      </c>
      <c r="H56" s="177" t="s">
        <v>199</v>
      </c>
      <c r="I56" s="177" t="s">
        <v>200</v>
      </c>
      <c r="J56" s="177" t="s">
        <v>3</v>
      </c>
      <c r="K56" s="177" t="s">
        <v>50</v>
      </c>
      <c r="L56" s="178">
        <v>9480</v>
      </c>
      <c r="M56" s="179">
        <v>0.16819999999999999</v>
      </c>
      <c r="N56" s="178"/>
      <c r="O56" s="178"/>
      <c r="P56" s="178"/>
      <c r="Q56" s="178"/>
      <c r="R56" s="178"/>
      <c r="S56" s="178"/>
      <c r="T56" s="178"/>
      <c r="U56" s="178">
        <f>(Table1[[#This Row],[Invoice Date]]-Table1[[#This Row],[Month]])/7</f>
        <v>9.5714285714285712</v>
      </c>
      <c r="V56" s="178"/>
      <c r="W56" s="178">
        <f t="shared" si="4"/>
        <v>0</v>
      </c>
      <c r="X56" s="178"/>
      <c r="Y56" s="178"/>
      <c r="Z56" s="178"/>
      <c r="AA56" s="178"/>
      <c r="AB56" s="178"/>
      <c r="AC56" s="178"/>
      <c r="AD56" s="193"/>
      <c r="AE56" s="193"/>
      <c r="AF56" s="178"/>
      <c r="AG56" s="178" t="s">
        <v>52</v>
      </c>
      <c r="AH56" s="179">
        <v>1</v>
      </c>
      <c r="AI56" s="193">
        <v>1193</v>
      </c>
      <c r="AJ56" s="178" t="s">
        <v>93</v>
      </c>
      <c r="AK56" s="178">
        <f>+Table1[[#This Row],[PO Amount]]</f>
        <v>9480</v>
      </c>
      <c r="AL56" s="244">
        <v>45825</v>
      </c>
      <c r="AM56" s="215">
        <f>(Table1[[#This Row],[Invoice Date]]-Table1[[#This Row],[Month]])/7</f>
        <v>9.5714285714285712</v>
      </c>
      <c r="AN56" s="229">
        <v>60</v>
      </c>
      <c r="AO56" s="263">
        <f t="shared" si="3"/>
        <v>45885</v>
      </c>
      <c r="AP56" s="178" t="s">
        <v>53</v>
      </c>
      <c r="AQ56" s="201" t="str">
        <f ca="1">IF(AND(AO56&lt;TODAY(),Table1[[#This Row],[Payment Status]]="Pending"),"Past Due", "OK")</f>
        <v>Past Due</v>
      </c>
      <c r="AR56" s="220"/>
    </row>
    <row r="57" spans="1:44">
      <c r="A57" s="173">
        <v>45770</v>
      </c>
      <c r="B57" s="174" t="s">
        <v>57</v>
      </c>
      <c r="C57" s="278" t="s">
        <v>201</v>
      </c>
      <c r="D57" s="174"/>
      <c r="E57" s="174"/>
      <c r="F57" s="174"/>
      <c r="G57" s="245" t="s">
        <v>202</v>
      </c>
      <c r="H57" s="177" t="s">
        <v>199</v>
      </c>
      <c r="I57" s="177" t="s">
        <v>200</v>
      </c>
      <c r="J57" s="177" t="s">
        <v>3</v>
      </c>
      <c r="K57" s="177" t="s">
        <v>50</v>
      </c>
      <c r="L57" s="178">
        <v>41300</v>
      </c>
      <c r="M57" s="179">
        <f>+Table1[[#This Row],[Quoted Rev]]/Table1[[#This Row],[PO Amount]]</f>
        <v>0.20682929782082324</v>
      </c>
      <c r="N57" s="178">
        <v>8542.0499999999993</v>
      </c>
      <c r="O57" s="178">
        <f>+Table1[[#This Row],[PO Amount]]-Table1[[#This Row],[Quoted Rev]]</f>
        <v>32757.95</v>
      </c>
      <c r="P57" s="178">
        <v>0</v>
      </c>
      <c r="Q57" s="178" t="s">
        <v>51</v>
      </c>
      <c r="R57" s="178"/>
      <c r="S57" s="178"/>
      <c r="T57" s="178"/>
      <c r="U57" s="178">
        <f>(Table1[[#This Row],[Invoice Date]]-Table1[[#This Row],[Month]])/7</f>
        <v>5.8571428571428568</v>
      </c>
      <c r="V57" s="178"/>
      <c r="W57" s="178">
        <f t="shared" si="4"/>
        <v>0</v>
      </c>
      <c r="X57" s="178"/>
      <c r="Y57" s="178"/>
      <c r="Z57" s="178"/>
      <c r="AA57" s="178"/>
      <c r="AB57" s="178"/>
      <c r="AC57" s="178"/>
      <c r="AD57" s="193"/>
      <c r="AE57" s="193"/>
      <c r="AF57" s="178"/>
      <c r="AG57" s="178" t="s">
        <v>52</v>
      </c>
      <c r="AH57" s="179">
        <v>1</v>
      </c>
      <c r="AI57" s="193">
        <v>1182</v>
      </c>
      <c r="AJ57" s="178" t="s">
        <v>93</v>
      </c>
      <c r="AK57" s="178">
        <f>+Table1[[#This Row],[PO Amount]]</f>
        <v>41300</v>
      </c>
      <c r="AL57" s="244">
        <v>45811</v>
      </c>
      <c r="AM57" s="215">
        <f>(Table1[[#This Row],[Invoice Date]]-Table1[[#This Row],[Month]])/7</f>
        <v>5.8571428571428568</v>
      </c>
      <c r="AN57" s="229">
        <v>60</v>
      </c>
      <c r="AO57" s="263">
        <f t="shared" si="3"/>
        <v>45871</v>
      </c>
      <c r="AP57" s="178" t="s">
        <v>53</v>
      </c>
      <c r="AQ57" s="201" t="str">
        <f ca="1">IF(AND(AO57&lt;TODAY(),Table1[[#This Row],[Payment Status]]="Pending"),"Past Due", "OK")</f>
        <v>Past Due</v>
      </c>
      <c r="AR57" s="220"/>
    </row>
    <row r="58" spans="1:44">
      <c r="A58" s="173">
        <v>45770</v>
      </c>
      <c r="B58" s="174" t="s">
        <v>57</v>
      </c>
      <c r="C58" s="278" t="s">
        <v>201</v>
      </c>
      <c r="D58" s="174"/>
      <c r="E58" s="174"/>
      <c r="F58" s="174"/>
      <c r="G58" s="245" t="s">
        <v>202</v>
      </c>
      <c r="H58" s="177" t="s">
        <v>199</v>
      </c>
      <c r="I58" s="177" t="s">
        <v>200</v>
      </c>
      <c r="J58" s="177" t="s">
        <v>3</v>
      </c>
      <c r="K58" s="177" t="s">
        <v>50</v>
      </c>
      <c r="L58" s="178">
        <v>9480</v>
      </c>
      <c r="M58" s="179">
        <v>0.16819999999999999</v>
      </c>
      <c r="N58" s="178"/>
      <c r="O58" s="178"/>
      <c r="P58" s="178"/>
      <c r="Q58" s="178"/>
      <c r="R58" s="178"/>
      <c r="S58" s="178"/>
      <c r="T58" s="178"/>
      <c r="U58" s="178">
        <f>(Table1[[#This Row],[Invoice Date]]-Table1[[#This Row],[Month]])/7</f>
        <v>7.8571428571428568</v>
      </c>
      <c r="V58" s="178"/>
      <c r="W58" s="178">
        <f t="shared" si="4"/>
        <v>0</v>
      </c>
      <c r="X58" s="178"/>
      <c r="Y58" s="178"/>
      <c r="Z58" s="178"/>
      <c r="AA58" s="178"/>
      <c r="AB58" s="178"/>
      <c r="AC58" s="178"/>
      <c r="AD58" s="193"/>
      <c r="AE58" s="193"/>
      <c r="AF58" s="178"/>
      <c r="AG58" s="178" t="s">
        <v>52</v>
      </c>
      <c r="AH58" s="179">
        <v>1</v>
      </c>
      <c r="AI58" s="193">
        <v>1194</v>
      </c>
      <c r="AJ58" s="178" t="s">
        <v>93</v>
      </c>
      <c r="AK58" s="178">
        <f>+Table1[[#This Row],[PO Amount]]</f>
        <v>9480</v>
      </c>
      <c r="AL58" s="244">
        <v>45825</v>
      </c>
      <c r="AM58" s="215">
        <f>(Table1[[#This Row],[Invoice Date]]-Table1[[#This Row],[Month]])/7</f>
        <v>7.8571428571428568</v>
      </c>
      <c r="AN58" s="229">
        <v>60</v>
      </c>
      <c r="AO58" s="263">
        <f t="shared" si="3"/>
        <v>45885</v>
      </c>
      <c r="AP58" s="178" t="s">
        <v>53</v>
      </c>
      <c r="AQ58" s="201" t="str">
        <f ca="1">IF(AND(AO58&lt;TODAY(),Table1[[#This Row],[Payment Status]]="Pending"),"Past Due", "OK")</f>
        <v>Past Due</v>
      </c>
      <c r="AR58" s="220"/>
    </row>
    <row r="59" spans="1:44">
      <c r="A59" s="173">
        <v>45806</v>
      </c>
      <c r="B59" s="174" t="s">
        <v>63</v>
      </c>
      <c r="C59" s="278" t="s">
        <v>203</v>
      </c>
      <c r="D59" s="174"/>
      <c r="E59" s="174"/>
      <c r="F59" s="174"/>
      <c r="G59" s="245" t="s">
        <v>204</v>
      </c>
      <c r="H59" s="177" t="s">
        <v>108</v>
      </c>
      <c r="I59" s="177" t="s">
        <v>109</v>
      </c>
      <c r="J59" s="177" t="s">
        <v>49</v>
      </c>
      <c r="K59" s="177" t="s">
        <v>205</v>
      </c>
      <c r="L59" s="178">
        <v>700</v>
      </c>
      <c r="M59" s="179">
        <f>+Table1[[#This Row],[Quoted Rev]]/Table1[[#This Row],[PO Amount]]</f>
        <v>0.22857142857142856</v>
      </c>
      <c r="N59" s="178">
        <v>160</v>
      </c>
      <c r="O59" s="178">
        <f>+Table1[[#This Row],[PO Amount]]-Table1[[#This Row],[Quoted Rev]]</f>
        <v>540</v>
      </c>
      <c r="P59" s="178">
        <v>0</v>
      </c>
      <c r="Q59" s="178" t="s">
        <v>51</v>
      </c>
      <c r="R59" s="178"/>
      <c r="S59" s="178"/>
      <c r="T59" s="178"/>
      <c r="U59" s="178">
        <f>(Table1[[#This Row],[Invoice Date]]-Table1[[#This Row],[Month]])/7</f>
        <v>0</v>
      </c>
      <c r="V59" s="178"/>
      <c r="W59" s="178">
        <f t="shared" si="4"/>
        <v>0</v>
      </c>
      <c r="X59" s="178"/>
      <c r="Y59" s="178"/>
      <c r="Z59" s="178"/>
      <c r="AA59" s="178"/>
      <c r="AB59" s="178"/>
      <c r="AC59" s="178"/>
      <c r="AD59" s="193"/>
      <c r="AE59" s="193"/>
      <c r="AF59" s="178"/>
      <c r="AG59" s="178" t="s">
        <v>52</v>
      </c>
      <c r="AH59" s="179">
        <v>1</v>
      </c>
      <c r="AI59" s="193">
        <v>1189</v>
      </c>
      <c r="AJ59" s="178" t="s">
        <v>93</v>
      </c>
      <c r="AK59" s="178">
        <f>+Table1[[#This Row],[PO Amount]]</f>
        <v>700</v>
      </c>
      <c r="AL59" s="244">
        <v>45806</v>
      </c>
      <c r="AM59" s="215">
        <f>(Table1[[#This Row],[Invoice Date]]-Table1[[#This Row],[Month]])/7</f>
        <v>0</v>
      </c>
      <c r="AN59" s="229">
        <v>30</v>
      </c>
      <c r="AO59" s="263">
        <f t="shared" si="3"/>
        <v>45836</v>
      </c>
      <c r="AP59" s="178" t="s">
        <v>94</v>
      </c>
      <c r="AQ59" s="201" t="str">
        <f ca="1">IF(AND(AO59&lt;TODAY(),Table1[[#This Row],[Payment Status]]="Pending"),"Past Due", "OK")</f>
        <v>OK</v>
      </c>
      <c r="AR59" s="220"/>
    </row>
    <row r="60" spans="1:44" ht="15.75">
      <c r="A60" s="173">
        <v>45814</v>
      </c>
      <c r="B60" s="174" t="s">
        <v>63</v>
      </c>
      <c r="C60" s="270">
        <v>526115</v>
      </c>
      <c r="D60" s="174"/>
      <c r="E60" s="174"/>
      <c r="F60" s="174"/>
      <c r="G60" s="269" t="s">
        <v>206</v>
      </c>
      <c r="H60" s="177" t="s">
        <v>108</v>
      </c>
      <c r="I60" s="177" t="s">
        <v>109</v>
      </c>
      <c r="J60" s="177" t="s">
        <v>49</v>
      </c>
      <c r="K60" s="177" t="s">
        <v>205</v>
      </c>
      <c r="L60" s="178">
        <v>2880</v>
      </c>
      <c r="M60" s="179">
        <v>1</v>
      </c>
      <c r="N60" s="178">
        <v>2880</v>
      </c>
      <c r="O60" s="178">
        <v>0</v>
      </c>
      <c r="P60" s="178">
        <v>0</v>
      </c>
      <c r="Q60" s="178" t="s">
        <v>51</v>
      </c>
      <c r="R60" s="178"/>
      <c r="S60" s="178"/>
      <c r="T60" s="178"/>
      <c r="U60" s="178">
        <f>(Table1[[#This Row],[Invoice Date]]-Table1[[#This Row],[Month]])/7</f>
        <v>0</v>
      </c>
      <c r="V60" s="178"/>
      <c r="W60" s="178">
        <f t="shared" si="4"/>
        <v>0</v>
      </c>
      <c r="X60" s="178"/>
      <c r="Y60" s="178"/>
      <c r="Z60" s="178"/>
      <c r="AA60" s="178"/>
      <c r="AB60" s="178"/>
      <c r="AC60" s="178"/>
      <c r="AD60" s="193"/>
      <c r="AE60" s="193"/>
      <c r="AF60" s="178"/>
      <c r="AG60" s="178" t="s">
        <v>52</v>
      </c>
      <c r="AH60" s="179">
        <v>1</v>
      </c>
      <c r="AI60" s="193">
        <v>1192</v>
      </c>
      <c r="AJ60" s="178" t="s">
        <v>93</v>
      </c>
      <c r="AK60" s="178">
        <v>2880</v>
      </c>
      <c r="AL60" s="244">
        <v>45814</v>
      </c>
      <c r="AM60" s="215">
        <f>(Table1[[#This Row],[Invoice Date]]-Table1[[#This Row],[Month]])/7</f>
        <v>0</v>
      </c>
      <c r="AN60" s="229">
        <v>30</v>
      </c>
      <c r="AO60" s="263">
        <f t="shared" si="3"/>
        <v>45844</v>
      </c>
      <c r="AP60" s="178" t="s">
        <v>94</v>
      </c>
      <c r="AQ60" s="201" t="str">
        <f ca="1">IF(AND(AO60&lt;TODAY(),Table1[[#This Row],[Payment Status]]="Pending"),"Past Due", "OK")</f>
        <v>OK</v>
      </c>
      <c r="AR60" s="220"/>
    </row>
    <row r="61" spans="1:44">
      <c r="A61" s="173">
        <v>45807</v>
      </c>
      <c r="B61" s="174" t="s">
        <v>44</v>
      </c>
      <c r="C61" s="278" t="s">
        <v>207</v>
      </c>
      <c r="D61" s="174"/>
      <c r="E61" s="174"/>
      <c r="F61" s="174"/>
      <c r="G61" s="245" t="s">
        <v>208</v>
      </c>
      <c r="H61" s="177" t="s">
        <v>108</v>
      </c>
      <c r="I61" s="177" t="s">
        <v>109</v>
      </c>
      <c r="J61" s="177" t="s">
        <v>49</v>
      </c>
      <c r="K61" s="177" t="s">
        <v>50</v>
      </c>
      <c r="L61" s="178">
        <v>25312.51</v>
      </c>
      <c r="M61" s="179">
        <f>+Table1[[#This Row],[Quoted Rev]]/Table1[[#This Row],[PO Amount]]</f>
        <v>0.52358853389094961</v>
      </c>
      <c r="N61" s="178">
        <v>13253.34</v>
      </c>
      <c r="O61" s="178">
        <f>+Table1[[#This Row],[PO Amount]]-Table1[[#This Row],[Quoted Rev]]</f>
        <v>12059.169999999998</v>
      </c>
      <c r="P61" s="178">
        <v>0</v>
      </c>
      <c r="Q61" s="178" t="s">
        <v>51</v>
      </c>
      <c r="R61" s="178"/>
      <c r="S61" s="178"/>
      <c r="T61" s="178"/>
      <c r="U61" s="178">
        <f>(Table1[[#This Row],[Invoice Date]]-Table1[[#This Row],[Month]])/7</f>
        <v>12.714285714285714</v>
      </c>
      <c r="V61" s="178"/>
      <c r="W61" s="178">
        <f t="shared" si="4"/>
        <v>0</v>
      </c>
      <c r="X61" s="178"/>
      <c r="Y61" s="178"/>
      <c r="Z61" s="178"/>
      <c r="AA61" s="178"/>
      <c r="AB61" s="178"/>
      <c r="AC61" s="178"/>
      <c r="AD61" s="193"/>
      <c r="AE61" s="193"/>
      <c r="AF61" s="178"/>
      <c r="AG61" s="178" t="s">
        <v>52</v>
      </c>
      <c r="AH61" s="179">
        <v>1</v>
      </c>
      <c r="AI61" s="193">
        <v>1206</v>
      </c>
      <c r="AJ61" s="178" t="s">
        <v>93</v>
      </c>
      <c r="AK61" s="178">
        <f>+Table1[[#This Row],[PO Amount]]</f>
        <v>25312.51</v>
      </c>
      <c r="AL61" s="244">
        <v>45896</v>
      </c>
      <c r="AM61" s="215">
        <f>(Table1[[#This Row],[Invoice Date]]-Table1[[#This Row],[Month]])/7</f>
        <v>12.714285714285714</v>
      </c>
      <c r="AN61" s="229">
        <v>30</v>
      </c>
      <c r="AO61" s="263">
        <f t="shared" si="3"/>
        <v>45926</v>
      </c>
      <c r="AP61" s="178" t="s">
        <v>53</v>
      </c>
      <c r="AQ61" s="201" t="str">
        <f ca="1">IF(AND(AO61&lt;TODAY(),Table1[[#This Row],[Payment Status]]="Pending"),"Past Due", "OK")</f>
        <v>Past Due</v>
      </c>
      <c r="AR61" s="220">
        <v>45897</v>
      </c>
    </row>
    <row r="62" spans="1:44">
      <c r="A62" s="173">
        <v>45805</v>
      </c>
      <c r="B62" s="174" t="s">
        <v>63</v>
      </c>
      <c r="C62" s="278" t="s">
        <v>209</v>
      </c>
      <c r="D62" s="174"/>
      <c r="E62" s="174"/>
      <c r="F62" s="174"/>
      <c r="G62" s="245" t="s">
        <v>210</v>
      </c>
      <c r="H62" s="177" t="s">
        <v>66</v>
      </c>
      <c r="I62" s="177" t="s">
        <v>67</v>
      </c>
      <c r="J62" s="177" t="s">
        <v>3</v>
      </c>
      <c r="K62" s="177" t="s">
        <v>92</v>
      </c>
      <c r="L62" s="178">
        <v>32708.79</v>
      </c>
      <c r="M62" s="179">
        <f>+Table1[[#This Row],[Quoted Rev]]/Table1[[#This Row],[PO Amount]]</f>
        <v>0.39637816012148414</v>
      </c>
      <c r="N62" s="178">
        <v>12965.05</v>
      </c>
      <c r="O62" s="178">
        <f>+Table1[[#This Row],[PO Amount]]-Table1[[#This Row],[Quoted Rev]]</f>
        <v>19743.740000000002</v>
      </c>
      <c r="P62" s="178">
        <v>0</v>
      </c>
      <c r="Q62" s="178" t="s">
        <v>51</v>
      </c>
      <c r="R62" s="178"/>
      <c r="S62" s="178"/>
      <c r="T62" s="178"/>
      <c r="U62" s="178">
        <f>(Table1[[#This Row],[Invoice Date]]-Table1[[#This Row],[Month]])/7</f>
        <v>13.285714285714286</v>
      </c>
      <c r="V62" s="178"/>
      <c r="W62" s="178">
        <f t="shared" si="4"/>
        <v>0</v>
      </c>
      <c r="X62" s="178"/>
      <c r="Y62" s="178"/>
      <c r="Z62" s="178"/>
      <c r="AA62" s="178"/>
      <c r="AB62" s="178"/>
      <c r="AC62" s="178"/>
      <c r="AD62" s="193"/>
      <c r="AE62" s="193"/>
      <c r="AF62" s="178"/>
      <c r="AG62" s="178" t="s">
        <v>52</v>
      </c>
      <c r="AH62" s="179">
        <v>1</v>
      </c>
      <c r="AI62" s="193">
        <v>1207</v>
      </c>
      <c r="AJ62" s="178" t="s">
        <v>93</v>
      </c>
      <c r="AK62" s="178">
        <f>+Table1[[#This Row],[PO Amount]]</f>
        <v>32708.79</v>
      </c>
      <c r="AL62" s="244">
        <v>45898</v>
      </c>
      <c r="AM62" s="215">
        <f>(Table1[[#This Row],[Invoice Date]]-Table1[[#This Row],[Month]])/7</f>
        <v>13.285714285714286</v>
      </c>
      <c r="AN62" s="229">
        <v>60</v>
      </c>
      <c r="AO62" s="263">
        <f t="shared" si="3"/>
        <v>45958</v>
      </c>
      <c r="AP62" s="178" t="s">
        <v>53</v>
      </c>
      <c r="AQ62" s="201" t="str">
        <f ca="1">IF(AND(AO62&lt;TODAY(),Table1[[#This Row],[Payment Status]]="Pending"),"Past Due", "OK")</f>
        <v>Past Due</v>
      </c>
      <c r="AR62" s="220">
        <v>45905</v>
      </c>
    </row>
    <row r="63" spans="1:44" ht="24" customHeight="1">
      <c r="A63" s="173">
        <v>45805</v>
      </c>
      <c r="B63" s="174" t="s">
        <v>63</v>
      </c>
      <c r="C63" s="278" t="s">
        <v>209</v>
      </c>
      <c r="D63" s="174"/>
      <c r="E63" s="174"/>
      <c r="F63" s="174"/>
      <c r="G63" s="245" t="s">
        <v>211</v>
      </c>
      <c r="H63" s="177" t="s">
        <v>66</v>
      </c>
      <c r="I63" s="177" t="s">
        <v>67</v>
      </c>
      <c r="J63" s="177" t="s">
        <v>3</v>
      </c>
      <c r="K63" s="177" t="s">
        <v>92</v>
      </c>
      <c r="L63" s="178">
        <v>23534.02</v>
      </c>
      <c r="M63" s="179">
        <f>+Table1[[#This Row],[Quoted Rev]]/Table1[[#This Row],[PO Amount]]</f>
        <v>0.27471082288533794</v>
      </c>
      <c r="N63" s="178">
        <v>6465.05</v>
      </c>
      <c r="O63" s="178">
        <f>+Table1[[#This Row],[PO Amount]]-Table1[[#This Row],[Quoted Rev]]</f>
        <v>17068.97</v>
      </c>
      <c r="P63" s="178">
        <v>0</v>
      </c>
      <c r="Q63" s="178" t="s">
        <v>51</v>
      </c>
      <c r="R63" s="178"/>
      <c r="S63" s="178"/>
      <c r="T63" s="178"/>
      <c r="U63" s="178">
        <f>(Table1[[#This Row],[Invoice Date]]-Table1[[#This Row],[Month]])/7</f>
        <v>17.714285714285715</v>
      </c>
      <c r="V63" s="178"/>
      <c r="W63" s="178">
        <f t="shared" si="4"/>
        <v>0</v>
      </c>
      <c r="X63" s="178"/>
      <c r="Y63" s="178"/>
      <c r="Z63" s="178"/>
      <c r="AA63" s="178"/>
      <c r="AB63" s="178"/>
      <c r="AC63" s="178"/>
      <c r="AD63" s="193"/>
      <c r="AE63" s="193"/>
      <c r="AF63" s="178"/>
      <c r="AG63" s="178" t="s">
        <v>52</v>
      </c>
      <c r="AH63" s="179">
        <v>1</v>
      </c>
      <c r="AI63" s="193">
        <v>1213</v>
      </c>
      <c r="AJ63" s="178" t="s">
        <v>150</v>
      </c>
      <c r="AK63" s="178">
        <f>+Table1[[#This Row],[PO Amount]]</f>
        <v>23534.02</v>
      </c>
      <c r="AL63" s="244">
        <v>45929</v>
      </c>
      <c r="AM63" s="215">
        <f>(Table1[[#This Row],[Invoice Date]]-Table1[[#This Row],[Month]])/7</f>
        <v>17.714285714285715</v>
      </c>
      <c r="AN63" s="229">
        <v>60</v>
      </c>
      <c r="AO63" s="263">
        <f t="shared" si="3"/>
        <v>45989</v>
      </c>
      <c r="AP63" s="178" t="s">
        <v>53</v>
      </c>
      <c r="AQ63" s="201" t="str">
        <f ca="1">IF(AND(AO63&lt;TODAY(),Table1[[#This Row],[Payment Status]]="Pending"),"Past Due", "OK")</f>
        <v>OK</v>
      </c>
      <c r="AR63" s="220">
        <v>45910</v>
      </c>
    </row>
    <row r="64" spans="1:44">
      <c r="A64" s="173">
        <v>45798</v>
      </c>
      <c r="B64" s="174" t="s">
        <v>95</v>
      </c>
      <c r="C64" s="278" t="s">
        <v>212</v>
      </c>
      <c r="D64" s="174"/>
      <c r="E64" s="174"/>
      <c r="F64" s="174"/>
      <c r="G64" s="245" t="s">
        <v>213</v>
      </c>
      <c r="H64" s="177" t="s">
        <v>75</v>
      </c>
      <c r="I64" s="177" t="s">
        <v>76</v>
      </c>
      <c r="J64" s="177" t="s">
        <v>49</v>
      </c>
      <c r="K64" s="177" t="s">
        <v>77</v>
      </c>
      <c r="L64" s="178">
        <f>166804.8*0.3</f>
        <v>50041.439999999995</v>
      </c>
      <c r="M64" s="243">
        <v>0.3</v>
      </c>
      <c r="N64" s="178">
        <f>+Table1[[#This Row],[PO Amount]]*Table1[[#This Row],[Theorical Margen]]</f>
        <v>15012.431999999997</v>
      </c>
      <c r="O64" s="178">
        <f>+Table1[[#This Row],[PO Amount]]-Table1[[#This Row],[Quoted Rev]]</f>
        <v>35029.008000000002</v>
      </c>
      <c r="P64" s="178">
        <v>0</v>
      </c>
      <c r="Q64" s="178" t="s">
        <v>51</v>
      </c>
      <c r="R64" s="178"/>
      <c r="S64" s="178"/>
      <c r="T64" s="178"/>
      <c r="U64" s="178">
        <f>(Table1[[#This Row],[Invoice Date]]-Table1[[#This Row],[Month]])/7</f>
        <v>0</v>
      </c>
      <c r="V64" s="178"/>
      <c r="W64" s="178">
        <f t="shared" si="4"/>
        <v>0</v>
      </c>
      <c r="X64" s="178"/>
      <c r="Y64" s="178"/>
      <c r="Z64" s="178"/>
      <c r="AA64" s="178"/>
      <c r="AB64" s="178"/>
      <c r="AC64" s="178"/>
      <c r="AD64" s="193"/>
      <c r="AE64" s="193"/>
      <c r="AF64" s="178"/>
      <c r="AG64" s="178" t="s">
        <v>98</v>
      </c>
      <c r="AH64" s="179">
        <v>0.3</v>
      </c>
      <c r="AI64" s="193">
        <v>1176</v>
      </c>
      <c r="AJ64" s="178" t="s">
        <v>93</v>
      </c>
      <c r="AK64" s="178">
        <v>50041.440000000002</v>
      </c>
      <c r="AL64" s="244">
        <v>45798</v>
      </c>
      <c r="AM64" s="215">
        <f>(Table1[[#This Row],[Invoice Date]]-Table1[[#This Row],[Month]])/7</f>
        <v>0</v>
      </c>
      <c r="AN64" s="229">
        <v>60</v>
      </c>
      <c r="AO64" s="263">
        <f t="shared" si="3"/>
        <v>45858</v>
      </c>
      <c r="AP64" s="178" t="s">
        <v>94</v>
      </c>
      <c r="AQ64" s="201" t="str">
        <f ca="1">IF(AND(AO64&lt;TODAY(),Table1[[#This Row],[Payment Status]]="Pending"),"Past Due", "OK")</f>
        <v>OK</v>
      </c>
      <c r="AR64" s="220"/>
    </row>
    <row r="65" spans="1:44" ht="21.75" customHeight="1">
      <c r="A65" s="173">
        <v>45798</v>
      </c>
      <c r="B65" s="174" t="s">
        <v>95</v>
      </c>
      <c r="C65" s="278" t="s">
        <v>212</v>
      </c>
      <c r="D65" s="174"/>
      <c r="E65" s="174"/>
      <c r="F65" s="174"/>
      <c r="G65" s="245" t="s">
        <v>213</v>
      </c>
      <c r="H65" s="177" t="s">
        <v>75</v>
      </c>
      <c r="I65" s="177" t="s">
        <v>76</v>
      </c>
      <c r="J65" s="177" t="s">
        <v>49</v>
      </c>
      <c r="K65" s="177" t="s">
        <v>77</v>
      </c>
      <c r="L65" s="178">
        <f>166804.8*0.6</f>
        <v>100082.87999999999</v>
      </c>
      <c r="M65" s="243">
        <v>0.3</v>
      </c>
      <c r="N65" s="178">
        <f>+Table1[[#This Row],[PO Amount]]*Table1[[#This Row],[Theorical Margen]]</f>
        <v>30024.863999999994</v>
      </c>
      <c r="O65" s="178">
        <f>+Table1[[#This Row],[PO Amount]]-Table1[[#This Row],[Quoted Rev]]</f>
        <v>70058.016000000003</v>
      </c>
      <c r="P65" s="178">
        <v>0</v>
      </c>
      <c r="Q65" s="178" t="s">
        <v>51</v>
      </c>
      <c r="R65" s="178"/>
      <c r="S65" s="178"/>
      <c r="T65" s="178"/>
      <c r="U65" s="178">
        <f>(Table1[[#This Row],[Invoice Date]]-Table1[[#This Row],[Month]])/7</f>
        <v>22.142857142857142</v>
      </c>
      <c r="V65" s="178"/>
      <c r="W65" s="178">
        <f t="shared" si="4"/>
        <v>0</v>
      </c>
      <c r="X65" s="178"/>
      <c r="Y65" s="178"/>
      <c r="Z65" s="178"/>
      <c r="AA65" s="178"/>
      <c r="AB65" s="178"/>
      <c r="AC65" s="178"/>
      <c r="AD65" s="193"/>
      <c r="AE65" s="193"/>
      <c r="AF65" s="178"/>
      <c r="AG65" s="178" t="s">
        <v>62</v>
      </c>
      <c r="AH65" s="179">
        <v>0.6</v>
      </c>
      <c r="AI65" s="193">
        <v>1231</v>
      </c>
      <c r="AJ65" s="178" t="s">
        <v>150</v>
      </c>
      <c r="AK65" s="178">
        <f>Table1[[#This Row],[PO Amount]]</f>
        <v>100082.87999999999</v>
      </c>
      <c r="AL65" s="244">
        <v>45953</v>
      </c>
      <c r="AM65" s="215">
        <f>(Table1[[#This Row],[Invoice Date]]-Table1[[#This Row],[Month]])/7</f>
        <v>22.142857142857142</v>
      </c>
      <c r="AN65" s="229">
        <v>60</v>
      </c>
      <c r="AO65" s="263">
        <f t="shared" si="3"/>
        <v>46013</v>
      </c>
      <c r="AP65" s="178" t="s">
        <v>53</v>
      </c>
      <c r="AQ65" s="201" t="str">
        <f ca="1">IF(AND(AO65&lt;TODAY(),Table1[[#This Row],[Payment Status]]="Pending"),"Past Due", "OK")</f>
        <v>OK</v>
      </c>
      <c r="AR65" s="220">
        <v>45952</v>
      </c>
    </row>
    <row r="66" spans="1:44" ht="21.75" customHeight="1">
      <c r="A66" s="173">
        <v>45798</v>
      </c>
      <c r="B66" s="174" t="s">
        <v>95</v>
      </c>
      <c r="C66" s="278" t="s">
        <v>212</v>
      </c>
      <c r="D66" s="174"/>
      <c r="E66" s="174"/>
      <c r="F66" s="174"/>
      <c r="G66" s="245" t="s">
        <v>213</v>
      </c>
      <c r="H66" s="177" t="s">
        <v>75</v>
      </c>
      <c r="I66" s="177" t="s">
        <v>76</v>
      </c>
      <c r="J66" s="177" t="s">
        <v>49</v>
      </c>
      <c r="K66" s="177" t="s">
        <v>77</v>
      </c>
      <c r="L66" s="178">
        <f>166804.8*0.1</f>
        <v>16680.48</v>
      </c>
      <c r="M66" s="243">
        <v>0.3</v>
      </c>
      <c r="N66" s="178">
        <f>+Table1[[#This Row],[PO Amount]]*Table1[[#This Row],[Theorical Margen]]</f>
        <v>5004.1439999999993</v>
      </c>
      <c r="O66" s="178">
        <f>+Table1[[#This Row],[PO Amount]]-Table1[[#This Row],[Quoted Rev]]</f>
        <v>11676.335999999999</v>
      </c>
      <c r="P66" s="178">
        <v>0</v>
      </c>
      <c r="Q66" s="178" t="s">
        <v>51</v>
      </c>
      <c r="R66" s="178"/>
      <c r="S66" s="178"/>
      <c r="T66" s="178"/>
      <c r="U66" s="193">
        <f>(Table1[[#This Row],[Invoice Date]]-Table1[[#This Row],[Month]])/7</f>
        <v>25.285714285714285</v>
      </c>
      <c r="V66" s="178"/>
      <c r="W66" s="220">
        <f>T66+V66</f>
        <v>0</v>
      </c>
      <c r="X66" s="178"/>
      <c r="Y66" s="178"/>
      <c r="Z66" s="178"/>
      <c r="AA66" s="178"/>
      <c r="AB66" s="178"/>
      <c r="AC66" s="178"/>
      <c r="AD66" s="193"/>
      <c r="AE66" s="193"/>
      <c r="AF66" s="178"/>
      <c r="AG66" s="178" t="s">
        <v>86</v>
      </c>
      <c r="AH66" s="179">
        <v>0.1</v>
      </c>
      <c r="AI66" s="193"/>
      <c r="AJ66" s="178" t="s">
        <v>53</v>
      </c>
      <c r="AK66" s="178">
        <f>Table1[[#This Row],[PO Amount]]</f>
        <v>16680.48</v>
      </c>
      <c r="AL66" s="244">
        <v>45975</v>
      </c>
      <c r="AM66" s="215">
        <f>(Table1[[#This Row],[Invoice Date]]-Table1[[#This Row],[Month]])/7</f>
        <v>25.285714285714285</v>
      </c>
      <c r="AN66" s="229">
        <v>60</v>
      </c>
      <c r="AO66" s="263">
        <f t="shared" si="3"/>
        <v>46035</v>
      </c>
      <c r="AP66" s="178" t="s">
        <v>53</v>
      </c>
      <c r="AQ66" s="201" t="str">
        <f ca="1">IF(AND(AO66&lt;TODAY(),Table1[[#This Row],[Payment Status]]="Pending"),"Past Due", "OK")</f>
        <v>OK</v>
      </c>
      <c r="AR66" s="220">
        <v>45975</v>
      </c>
    </row>
    <row r="67" spans="1:44">
      <c r="A67" s="173">
        <v>45784</v>
      </c>
      <c r="B67" s="174" t="s">
        <v>44</v>
      </c>
      <c r="C67" s="278" t="s">
        <v>214</v>
      </c>
      <c r="D67" s="174"/>
      <c r="E67" s="174"/>
      <c r="F67" s="174"/>
      <c r="G67" s="245" t="s">
        <v>215</v>
      </c>
      <c r="H67" s="177" t="s">
        <v>141</v>
      </c>
      <c r="I67" s="177" t="s">
        <v>142</v>
      </c>
      <c r="J67" s="177" t="s">
        <v>49</v>
      </c>
      <c r="K67" s="177" t="s">
        <v>50</v>
      </c>
      <c r="L67" s="178">
        <v>22100</v>
      </c>
      <c r="M67" s="179">
        <f>+Table1[[#This Row],[Quoted Rev]]/Table1[[#This Row],[PO Amount]]</f>
        <v>0.43631764705882359</v>
      </c>
      <c r="N67" s="178">
        <v>9642.6200000000008</v>
      </c>
      <c r="O67" s="178">
        <f>+Table1[[#This Row],[PO Amount]]-Table1[[#This Row],[Quoted Rev]]</f>
        <v>12457.38</v>
      </c>
      <c r="P67" s="178">
        <v>0</v>
      </c>
      <c r="Q67" s="178" t="s">
        <v>51</v>
      </c>
      <c r="R67" s="178"/>
      <c r="S67" s="178"/>
      <c r="T67" s="178"/>
      <c r="U67" s="178">
        <f>(Table1[[#This Row],[Invoice Date]]-Table1[[#This Row],[Month]])/7</f>
        <v>6</v>
      </c>
      <c r="V67" s="178"/>
      <c r="W67" s="178">
        <f t="shared" si="4"/>
        <v>0</v>
      </c>
      <c r="X67" s="178"/>
      <c r="Y67" s="178"/>
      <c r="Z67" s="178"/>
      <c r="AA67" s="178"/>
      <c r="AB67" s="178"/>
      <c r="AC67" s="178"/>
      <c r="AD67" s="193"/>
      <c r="AE67" s="193"/>
      <c r="AF67" s="178"/>
      <c r="AG67" s="178" t="s">
        <v>52</v>
      </c>
      <c r="AH67" s="179">
        <v>1</v>
      </c>
      <c r="AI67" s="193">
        <v>1188</v>
      </c>
      <c r="AJ67" s="178" t="s">
        <v>93</v>
      </c>
      <c r="AK67" s="178">
        <f>+Table1[[#This Row],[PO Amount]]</f>
        <v>22100</v>
      </c>
      <c r="AL67" s="244">
        <v>45826</v>
      </c>
      <c r="AM67" s="215">
        <f>(Table1[[#This Row],[Invoice Date]]-Table1[[#This Row],[Month]])/7</f>
        <v>6</v>
      </c>
      <c r="AN67" s="229">
        <v>30</v>
      </c>
      <c r="AO67" s="263">
        <v>45856</v>
      </c>
      <c r="AP67" s="178" t="s">
        <v>94</v>
      </c>
      <c r="AQ67" s="201" t="str">
        <f ca="1">IF(AND(AO67&lt;TODAY(),Table1[[#This Row],[Payment Status]]="Pending"),"Past Due", "OK")</f>
        <v>OK</v>
      </c>
      <c r="AR67" s="220"/>
    </row>
    <row r="68" spans="1:44">
      <c r="A68" s="173">
        <v>45785</v>
      </c>
      <c r="B68" s="174" t="s">
        <v>44</v>
      </c>
      <c r="C68" s="278" t="s">
        <v>54</v>
      </c>
      <c r="D68" s="174"/>
      <c r="E68" s="174"/>
      <c r="F68" s="174"/>
      <c r="G68" s="245" t="s">
        <v>55</v>
      </c>
      <c r="H68" s="177" t="s">
        <v>47</v>
      </c>
      <c r="I68" s="177" t="s">
        <v>56</v>
      </c>
      <c r="J68" s="177" t="s">
        <v>49</v>
      </c>
      <c r="K68" s="177" t="s">
        <v>50</v>
      </c>
      <c r="L68" s="178">
        <v>13326</v>
      </c>
      <c r="M68" s="179">
        <f>+Table1[[#This Row],[Quoted Rev]]/Table1[[#This Row],[PO Amount]]</f>
        <v>0.46551703436890285</v>
      </c>
      <c r="N68" s="178">
        <v>6203.48</v>
      </c>
      <c r="O68" s="178">
        <f>+Table1[[#This Row],[PO Amount]]-Table1[[#This Row],[Quoted Rev]]</f>
        <v>7122.52</v>
      </c>
      <c r="P68" s="178">
        <v>0</v>
      </c>
      <c r="Q68" s="178" t="s">
        <v>51</v>
      </c>
      <c r="R68" s="178"/>
      <c r="S68" s="178"/>
      <c r="T68" s="178"/>
      <c r="U68" s="178">
        <f>(Table1[[#This Row],[Invoice Date]]-Table1[[#This Row],[Month]])/7</f>
        <v>20.285714285714285</v>
      </c>
      <c r="V68" s="178"/>
      <c r="W68" s="178">
        <f t="shared" si="4"/>
        <v>0</v>
      </c>
      <c r="X68" s="178"/>
      <c r="Y68" s="178"/>
      <c r="Z68" s="178"/>
      <c r="AA68" s="178"/>
      <c r="AB68" s="178"/>
      <c r="AC68" s="178"/>
      <c r="AD68" s="193"/>
      <c r="AE68" s="193"/>
      <c r="AF68" s="178"/>
      <c r="AG68" s="178" t="s">
        <v>52</v>
      </c>
      <c r="AH68" s="179">
        <v>1</v>
      </c>
      <c r="AI68" s="193">
        <v>1208</v>
      </c>
      <c r="AJ68" s="178" t="s">
        <v>93</v>
      </c>
      <c r="AK68" s="178">
        <f>+Table1[[#This Row],[PO Amount]]</f>
        <v>13326</v>
      </c>
      <c r="AL68" s="244">
        <v>45927</v>
      </c>
      <c r="AM68" s="215">
        <f>(Table1[[#This Row],[Invoice Date]]-Table1[[#This Row],[Month]])/7</f>
        <v>20.285714285714285</v>
      </c>
      <c r="AN68" s="229">
        <v>30</v>
      </c>
      <c r="AO68" s="263">
        <f t="shared" si="3"/>
        <v>45957</v>
      </c>
      <c r="AP68" s="178" t="s">
        <v>53</v>
      </c>
      <c r="AQ68" s="201" t="str">
        <f ca="1">IF(AND(AO68&lt;TODAY(),Table1[[#This Row],[Payment Status]]="Pending"),"Past Due", "OK")</f>
        <v>Past Due</v>
      </c>
      <c r="AR68" s="220">
        <v>45896</v>
      </c>
    </row>
    <row r="69" spans="1:44" ht="25.5">
      <c r="A69" s="173">
        <v>45785</v>
      </c>
      <c r="B69" s="174" t="s">
        <v>44</v>
      </c>
      <c r="C69" s="278" t="s">
        <v>216</v>
      </c>
      <c r="D69" s="174"/>
      <c r="E69" s="174"/>
      <c r="F69" s="174"/>
      <c r="G69" s="245" t="s">
        <v>217</v>
      </c>
      <c r="H69" s="177" t="s">
        <v>47</v>
      </c>
      <c r="I69" s="177" t="s">
        <v>56</v>
      </c>
      <c r="J69" s="177" t="s">
        <v>49</v>
      </c>
      <c r="K69" s="177" t="s">
        <v>50</v>
      </c>
      <c r="L69" s="178">
        <v>27030.93</v>
      </c>
      <c r="M69" s="179">
        <f>+Table1[[#This Row],[Quoted Rev]]/Table1[[#This Row],[PO Amount]]</f>
        <v>0.2947072113316116</v>
      </c>
      <c r="N69" s="178">
        <v>7966.21</v>
      </c>
      <c r="O69" s="178">
        <f>+Table1[[#This Row],[PO Amount]]-Table1[[#This Row],[Quoted Rev]]</f>
        <v>19064.72</v>
      </c>
      <c r="P69" s="178">
        <v>0</v>
      </c>
      <c r="Q69" s="178" t="s">
        <v>51</v>
      </c>
      <c r="R69" s="178"/>
      <c r="S69" s="178"/>
      <c r="T69" s="178"/>
      <c r="U69" s="178">
        <f>(Table1[[#This Row],[Invoice Date]]-Table1[[#This Row],[Month]])/7</f>
        <v>27.857142857142858</v>
      </c>
      <c r="V69" s="178"/>
      <c r="W69" s="178">
        <f t="shared" si="4"/>
        <v>0</v>
      </c>
      <c r="X69" s="178"/>
      <c r="Y69" s="178"/>
      <c r="Z69" s="178"/>
      <c r="AA69" s="178"/>
      <c r="AB69" s="178"/>
      <c r="AC69" s="178"/>
      <c r="AD69" s="193"/>
      <c r="AE69" s="193"/>
      <c r="AF69" s="178"/>
      <c r="AG69" s="178" t="s">
        <v>52</v>
      </c>
      <c r="AH69" s="179">
        <v>1</v>
      </c>
      <c r="AI69" s="193"/>
      <c r="AJ69" s="178" t="s">
        <v>53</v>
      </c>
      <c r="AK69" s="178">
        <f>+Table1[[#This Row],[PO Amount]]</f>
        <v>27030.93</v>
      </c>
      <c r="AL69" s="244">
        <v>45980</v>
      </c>
      <c r="AM69" s="215">
        <f>(Table1[[#This Row],[Invoice Date]]-Table1[[#This Row],[Month]])/7</f>
        <v>27.857142857142858</v>
      </c>
      <c r="AN69" s="229">
        <v>30</v>
      </c>
      <c r="AO69" s="263">
        <f t="shared" si="3"/>
        <v>46010</v>
      </c>
      <c r="AP69" s="178" t="s">
        <v>53</v>
      </c>
      <c r="AQ69" s="201" t="str">
        <f ca="1">IF(AND(AO69&lt;TODAY(),Table1[[#This Row],[Payment Status]]="Pending"),"Past Due", "OK")</f>
        <v>OK</v>
      </c>
      <c r="AR69" s="220">
        <v>45897</v>
      </c>
    </row>
    <row r="70" spans="1:44">
      <c r="A70" s="173">
        <v>45806</v>
      </c>
      <c r="B70" s="174" t="s">
        <v>95</v>
      </c>
      <c r="C70" s="278" t="s">
        <v>218</v>
      </c>
      <c r="D70" s="174"/>
      <c r="E70" s="174" t="s">
        <v>219</v>
      </c>
      <c r="F70" s="174"/>
      <c r="G70" s="245" t="s">
        <v>220</v>
      </c>
      <c r="H70" s="177" t="s">
        <v>221</v>
      </c>
      <c r="I70" s="177" t="s">
        <v>222</v>
      </c>
      <c r="J70" s="177" t="s">
        <v>3</v>
      </c>
      <c r="K70" s="177" t="s">
        <v>77</v>
      </c>
      <c r="L70" s="178">
        <v>80241.3</v>
      </c>
      <c r="M70" s="243">
        <v>0.34</v>
      </c>
      <c r="N70" s="178">
        <f>+Table1[[#This Row],[PO Amount]]*Table1[[#This Row],[Theorical Margen]]</f>
        <v>27282.042000000001</v>
      </c>
      <c r="O70" s="178">
        <f>+Table1[[#This Row],[PO Amount]]-Table1[[#This Row],[Quoted Rev]]</f>
        <v>52959.258000000002</v>
      </c>
      <c r="P70" s="178">
        <v>0</v>
      </c>
      <c r="Q70" s="178" t="s">
        <v>51</v>
      </c>
      <c r="R70" s="178"/>
      <c r="S70" s="178"/>
      <c r="T70" s="178"/>
      <c r="U70" s="178">
        <f>(Table1[[#This Row],[Invoice Date]]-Table1[[#This Row],[Month]])/7</f>
        <v>-6543.7142857142853</v>
      </c>
      <c r="V70" s="178"/>
      <c r="W70" s="178">
        <f t="shared" ref="W70" si="7">T70+V70</f>
        <v>0</v>
      </c>
      <c r="X70" s="178"/>
      <c r="Y70" s="178"/>
      <c r="Z70" s="178"/>
      <c r="AA70" s="178"/>
      <c r="AB70" s="178"/>
      <c r="AC70" s="178"/>
      <c r="AD70" s="193"/>
      <c r="AE70" s="193"/>
      <c r="AF70" s="178"/>
      <c r="AG70" s="178" t="s">
        <v>98</v>
      </c>
      <c r="AH70" s="179">
        <v>1</v>
      </c>
      <c r="AI70" s="193"/>
      <c r="AJ70" s="178"/>
      <c r="AK70" s="178"/>
      <c r="AL70" s="244"/>
      <c r="AM70" s="215"/>
      <c r="AN70" s="229"/>
      <c r="AO70" s="263"/>
      <c r="AP70" s="178"/>
      <c r="AQ70" s="201"/>
      <c r="AR70" s="220"/>
    </row>
    <row r="71" spans="1:44">
      <c r="A71" s="173">
        <v>45806</v>
      </c>
      <c r="B71" s="174" t="s">
        <v>95</v>
      </c>
      <c r="C71" s="278" t="s">
        <v>218</v>
      </c>
      <c r="D71" s="174"/>
      <c r="E71" s="174" t="s">
        <v>219</v>
      </c>
      <c r="F71" s="174"/>
      <c r="G71" s="245" t="s">
        <v>220</v>
      </c>
      <c r="H71" s="177" t="s">
        <v>221</v>
      </c>
      <c r="I71" s="177" t="s">
        <v>222</v>
      </c>
      <c r="J71" s="177" t="s">
        <v>3</v>
      </c>
      <c r="K71" s="177" t="s">
        <v>77</v>
      </c>
      <c r="L71" s="178">
        <f>80241.3*0.3</f>
        <v>24072.39</v>
      </c>
      <c r="M71" s="243">
        <v>0.34</v>
      </c>
      <c r="N71" s="178">
        <f>+Table1[[#This Row],[PO Amount]]*Table1[[#This Row],[Theorical Margen]]</f>
        <v>8184.6126000000004</v>
      </c>
      <c r="O71" s="178">
        <f>+Table1[[#This Row],[PO Amount]]-Table1[[#This Row],[Quoted Rev]]</f>
        <v>15887.777399999999</v>
      </c>
      <c r="P71" s="178">
        <v>0</v>
      </c>
      <c r="Q71" s="178" t="s">
        <v>51</v>
      </c>
      <c r="R71" s="178"/>
      <c r="S71" s="178"/>
      <c r="T71" s="178"/>
      <c r="U71" s="178">
        <f>(Table1[[#This Row],[Invoice Date]]-Table1[[#This Row],[Month]])/7</f>
        <v>1.8571428571428572</v>
      </c>
      <c r="V71" s="178"/>
      <c r="W71" s="178">
        <f t="shared" si="4"/>
        <v>0</v>
      </c>
      <c r="X71" s="178"/>
      <c r="Y71" s="178"/>
      <c r="Z71" s="178"/>
      <c r="AA71" s="178"/>
      <c r="AB71" s="178"/>
      <c r="AC71" s="178"/>
      <c r="AD71" s="193"/>
      <c r="AE71" s="193"/>
      <c r="AF71" s="178"/>
      <c r="AG71" s="178" t="s">
        <v>98</v>
      </c>
      <c r="AH71" s="179">
        <v>0.3</v>
      </c>
      <c r="AI71" s="193">
        <v>1185</v>
      </c>
      <c r="AJ71" s="178" t="s">
        <v>93</v>
      </c>
      <c r="AK71" s="178">
        <f>80241.3*0.3</f>
        <v>24072.39</v>
      </c>
      <c r="AL71" s="244">
        <v>45819</v>
      </c>
      <c r="AM71" s="215">
        <f>(Table1[[#This Row],[Invoice Date]]-Table1[[#This Row],[Month]])/7</f>
        <v>1.8571428571428572</v>
      </c>
      <c r="AN71" s="229">
        <v>30</v>
      </c>
      <c r="AO71" s="263">
        <f t="shared" si="3"/>
        <v>45849</v>
      </c>
      <c r="AP71" s="178" t="s">
        <v>94</v>
      </c>
      <c r="AQ71" s="201" t="str">
        <f ca="1">IF(AND(AO71&lt;TODAY(),Table1[[#This Row],[Payment Status]]="Pending"),"Past Due", "OK")</f>
        <v>OK</v>
      </c>
      <c r="AR71" s="220"/>
    </row>
    <row r="72" spans="1:44">
      <c r="A72" s="173">
        <v>45806</v>
      </c>
      <c r="B72" s="174" t="s">
        <v>95</v>
      </c>
      <c r="C72" s="278" t="s">
        <v>218</v>
      </c>
      <c r="D72" s="174"/>
      <c r="E72" s="174" t="s">
        <v>219</v>
      </c>
      <c r="F72" s="174"/>
      <c r="G72" s="245" t="s">
        <v>220</v>
      </c>
      <c r="H72" s="177" t="s">
        <v>221</v>
      </c>
      <c r="I72" s="177" t="s">
        <v>222</v>
      </c>
      <c r="J72" s="177" t="s">
        <v>3</v>
      </c>
      <c r="K72" s="177" t="s">
        <v>77</v>
      </c>
      <c r="L72" s="178">
        <f t="shared" ref="L72:L73" si="8">80241.3*0.3</f>
        <v>24072.39</v>
      </c>
      <c r="M72" s="243">
        <v>0.34</v>
      </c>
      <c r="N72" s="178">
        <f>+Table1[[#This Row],[PO Amount]]*Table1[[#This Row],[Theorical Margen]]</f>
        <v>8184.6126000000004</v>
      </c>
      <c r="O72" s="178">
        <f>+Table1[[#This Row],[PO Amount]]-Table1[[#This Row],[Quoted Rev]]</f>
        <v>15887.777399999999</v>
      </c>
      <c r="P72" s="178">
        <v>0</v>
      </c>
      <c r="Q72" s="178" t="s">
        <v>51</v>
      </c>
      <c r="R72" s="178"/>
      <c r="S72" s="178"/>
      <c r="T72" s="178"/>
      <c r="U72" s="178">
        <f>(Table1[[#This Row],[Invoice Date]]-Table1[[#This Row],[Month]])/7</f>
        <v>21</v>
      </c>
      <c r="V72" s="178"/>
      <c r="W72" s="178">
        <f t="shared" ref="W72:W113" si="9">T72+V72</f>
        <v>0</v>
      </c>
      <c r="X72" s="178"/>
      <c r="Y72" s="178"/>
      <c r="Z72" s="178"/>
      <c r="AA72" s="178"/>
      <c r="AB72" s="178"/>
      <c r="AC72" s="178"/>
      <c r="AD72" s="193"/>
      <c r="AE72" s="193"/>
      <c r="AF72" s="178"/>
      <c r="AG72" s="178" t="s">
        <v>187</v>
      </c>
      <c r="AH72" s="179">
        <v>0.3</v>
      </c>
      <c r="AI72" s="193">
        <v>1230</v>
      </c>
      <c r="AJ72" s="178" t="s">
        <v>150</v>
      </c>
      <c r="AK72" s="178">
        <f t="shared" ref="AK72:AK73" si="10">80241.3*0.3</f>
        <v>24072.39</v>
      </c>
      <c r="AL72" s="244">
        <v>45953</v>
      </c>
      <c r="AM72" s="215">
        <f>(Table1[[#This Row],[Invoice Date]]-Table1[[#This Row],[Month]])/7</f>
        <v>21</v>
      </c>
      <c r="AN72" s="229">
        <v>30</v>
      </c>
      <c r="AO72" s="263">
        <f t="shared" si="3"/>
        <v>45983</v>
      </c>
      <c r="AP72" s="178" t="s">
        <v>53</v>
      </c>
      <c r="AQ72" s="201" t="str">
        <f ca="1">IF(AND(AO72&lt;TODAY(),Table1[[#This Row],[Payment Status]]="Pending"),"Past Due", "OK")</f>
        <v>OK</v>
      </c>
      <c r="AR72" s="220">
        <v>45877</v>
      </c>
    </row>
    <row r="73" spans="1:44">
      <c r="A73" s="173">
        <v>45806</v>
      </c>
      <c r="B73" s="174" t="s">
        <v>95</v>
      </c>
      <c r="C73" s="278" t="s">
        <v>218</v>
      </c>
      <c r="D73" s="174"/>
      <c r="E73" s="174"/>
      <c r="F73" s="174"/>
      <c r="G73" s="245" t="s">
        <v>220</v>
      </c>
      <c r="H73" s="177" t="s">
        <v>221</v>
      </c>
      <c r="I73" s="177" t="s">
        <v>222</v>
      </c>
      <c r="J73" s="177" t="s">
        <v>3</v>
      </c>
      <c r="K73" s="177" t="s">
        <v>77</v>
      </c>
      <c r="L73" s="178">
        <f t="shared" si="8"/>
        <v>24072.39</v>
      </c>
      <c r="M73" s="243">
        <v>0.34</v>
      </c>
      <c r="N73" s="178">
        <f>+Table1[[#This Row],[PO Amount]]*Table1[[#This Row],[Theorical Margen]]</f>
        <v>8184.6126000000004</v>
      </c>
      <c r="O73" s="178">
        <f>+Table1[[#This Row],[PO Amount]]-Table1[[#This Row],[Quoted Rev]]</f>
        <v>15887.777399999999</v>
      </c>
      <c r="P73" s="178">
        <v>0</v>
      </c>
      <c r="Q73" s="178" t="s">
        <v>51</v>
      </c>
      <c r="R73" s="178"/>
      <c r="S73" s="178"/>
      <c r="T73" s="178"/>
      <c r="U73" s="193">
        <f>(Table1[[#This Row],[Invoice Date]]-Table1[[#This Row],[Month]])/7</f>
        <v>28.142857142857142</v>
      </c>
      <c r="V73" s="178"/>
      <c r="W73" s="220">
        <f>T73+V73</f>
        <v>0</v>
      </c>
      <c r="X73" s="178"/>
      <c r="Y73" s="178"/>
      <c r="Z73" s="178"/>
      <c r="AA73" s="178"/>
      <c r="AB73" s="178"/>
      <c r="AC73" s="178"/>
      <c r="AD73" s="193"/>
      <c r="AE73" s="193"/>
      <c r="AF73" s="178"/>
      <c r="AG73" s="178" t="s">
        <v>62</v>
      </c>
      <c r="AH73" s="179">
        <v>0.3</v>
      </c>
      <c r="AI73" s="193"/>
      <c r="AJ73" s="178" t="s">
        <v>53</v>
      </c>
      <c r="AK73" s="178">
        <f t="shared" si="10"/>
        <v>24072.39</v>
      </c>
      <c r="AL73" s="244">
        <v>46003</v>
      </c>
      <c r="AM73" s="215">
        <f>(Table1[[#This Row],[Invoice Date]]-Table1[[#This Row],[Month]])/7</f>
        <v>28.142857142857142</v>
      </c>
      <c r="AN73" s="229">
        <v>30</v>
      </c>
      <c r="AO73" s="263">
        <f t="shared" si="3"/>
        <v>46033</v>
      </c>
      <c r="AP73" s="178" t="s">
        <v>53</v>
      </c>
      <c r="AQ73" s="201" t="str">
        <f ca="1">IF(AND(AO73&lt;TODAY(),Table1[[#This Row],[Payment Status]]="Pending"),"Past Due", "OK")</f>
        <v>OK</v>
      </c>
      <c r="AR73" s="220">
        <v>45945</v>
      </c>
    </row>
    <row r="74" spans="1:44">
      <c r="A74" s="173">
        <v>45806</v>
      </c>
      <c r="B74" s="174" t="s">
        <v>95</v>
      </c>
      <c r="C74" s="278" t="s">
        <v>218</v>
      </c>
      <c r="D74" s="174"/>
      <c r="E74" s="174"/>
      <c r="F74" s="174"/>
      <c r="G74" s="245" t="s">
        <v>220</v>
      </c>
      <c r="H74" s="177" t="s">
        <v>221</v>
      </c>
      <c r="I74" s="177" t="s">
        <v>222</v>
      </c>
      <c r="J74" s="177" t="s">
        <v>3</v>
      </c>
      <c r="K74" s="177" t="s">
        <v>77</v>
      </c>
      <c r="L74" s="178">
        <f>80241.3*0.1</f>
        <v>8024.130000000001</v>
      </c>
      <c r="M74" s="243">
        <v>0.34</v>
      </c>
      <c r="N74" s="178">
        <f>+Table1[[#This Row],[PO Amount]]*Table1[[#This Row],[Theorical Margen]]</f>
        <v>2728.2042000000006</v>
      </c>
      <c r="O74" s="178">
        <f>+Table1[[#This Row],[PO Amount]]-Table1[[#This Row],[Quoted Rev]]</f>
        <v>5295.9258000000009</v>
      </c>
      <c r="P74" s="178">
        <v>0</v>
      </c>
      <c r="Q74" s="178" t="s">
        <v>51</v>
      </c>
      <c r="R74" s="178"/>
      <c r="S74" s="178"/>
      <c r="T74" s="178"/>
      <c r="U74" s="193">
        <f>(Table1[[#This Row],[Invoice Date]]-Table1[[#This Row],[Month]])/7</f>
        <v>29.142857142857142</v>
      </c>
      <c r="V74" s="178"/>
      <c r="W74" s="220">
        <f>T74+V74</f>
        <v>0</v>
      </c>
      <c r="X74" s="178"/>
      <c r="Y74" s="178"/>
      <c r="Z74" s="178"/>
      <c r="AA74" s="178"/>
      <c r="AB74" s="178"/>
      <c r="AC74" s="178"/>
      <c r="AD74" s="193"/>
      <c r="AE74" s="193"/>
      <c r="AF74" s="178"/>
      <c r="AG74" s="178" t="s">
        <v>86</v>
      </c>
      <c r="AH74" s="179">
        <v>0.1</v>
      </c>
      <c r="AI74" s="193"/>
      <c r="AJ74" s="178" t="s">
        <v>53</v>
      </c>
      <c r="AK74" s="178">
        <f>80241.3*0.1</f>
        <v>8024.130000000001</v>
      </c>
      <c r="AL74" s="244">
        <v>46010</v>
      </c>
      <c r="AM74" s="215">
        <f>(Table1[[#This Row],[Invoice Date]]-Table1[[#This Row],[Month]])/7</f>
        <v>29.142857142857142</v>
      </c>
      <c r="AN74" s="229">
        <v>30</v>
      </c>
      <c r="AO74" s="263">
        <f t="shared" si="3"/>
        <v>46040</v>
      </c>
      <c r="AP74" s="178" t="s">
        <v>53</v>
      </c>
      <c r="AQ74" s="201" t="str">
        <f ca="1">IF(AND(AO74&lt;TODAY(),Table1[[#This Row],[Payment Status]]="Pending"),"Past Due", "OK")</f>
        <v>OK</v>
      </c>
      <c r="AR74" s="220">
        <v>45959</v>
      </c>
    </row>
    <row r="75" spans="1:44" ht="25.5">
      <c r="A75" s="173">
        <v>45811</v>
      </c>
      <c r="B75" s="174" t="s">
        <v>95</v>
      </c>
      <c r="C75" s="278" t="s">
        <v>223</v>
      </c>
      <c r="D75" s="174"/>
      <c r="E75" s="174"/>
      <c r="F75" s="174"/>
      <c r="G75" s="245" t="s">
        <v>224</v>
      </c>
      <c r="H75" s="177" t="s">
        <v>221</v>
      </c>
      <c r="I75" s="177" t="s">
        <v>222</v>
      </c>
      <c r="J75" s="177" t="s">
        <v>3</v>
      </c>
      <c r="K75" s="177" t="s">
        <v>77</v>
      </c>
      <c r="L75" s="178">
        <v>77505.570000000007</v>
      </c>
      <c r="M75" s="243">
        <v>0.32</v>
      </c>
      <c r="N75" s="178">
        <f>+Table1[[#This Row],[PO Amount]]*Table1[[#This Row],[Theorical Margen]]</f>
        <v>24801.782400000004</v>
      </c>
      <c r="O75" s="178">
        <f>+Table1[[#This Row],[PO Amount]]-Table1[[#This Row],[Quoted Rev]]</f>
        <v>52703.787600000003</v>
      </c>
      <c r="P75" s="178">
        <v>0</v>
      </c>
      <c r="Q75" s="178" t="s">
        <v>51</v>
      </c>
      <c r="R75" s="178"/>
      <c r="S75" s="178"/>
      <c r="T75" s="178"/>
      <c r="U75" s="178">
        <f>(Table1[[#This Row],[Invoice Date]]-Table1[[#This Row],[Month]])/7</f>
        <v>-6544.4285714285716</v>
      </c>
      <c r="V75" s="178"/>
      <c r="W75" s="178">
        <f t="shared" ref="W75" si="11">T75+V75</f>
        <v>0</v>
      </c>
      <c r="X75" s="178"/>
      <c r="Y75" s="178"/>
      <c r="Z75" s="178"/>
      <c r="AA75" s="178"/>
      <c r="AB75" s="178"/>
      <c r="AC75" s="178"/>
      <c r="AD75" s="193"/>
      <c r="AE75" s="193"/>
      <c r="AF75" s="178"/>
      <c r="AG75" s="178" t="s">
        <v>98</v>
      </c>
      <c r="AH75" s="179">
        <v>0.3</v>
      </c>
      <c r="AI75" s="193"/>
      <c r="AJ75" s="178"/>
      <c r="AK75" s="178"/>
      <c r="AL75" s="244"/>
      <c r="AM75" s="215"/>
      <c r="AN75" s="229"/>
      <c r="AO75" s="263"/>
      <c r="AP75" s="178"/>
      <c r="AQ75" s="201"/>
      <c r="AR75" s="220"/>
    </row>
    <row r="76" spans="1:44" ht="29.25" customHeight="1">
      <c r="A76" s="173">
        <v>45811</v>
      </c>
      <c r="B76" s="174" t="s">
        <v>95</v>
      </c>
      <c r="C76" s="278" t="s">
        <v>223</v>
      </c>
      <c r="D76" s="174"/>
      <c r="E76" s="174"/>
      <c r="F76" s="174"/>
      <c r="G76" s="245" t="s">
        <v>224</v>
      </c>
      <c r="H76" s="177" t="s">
        <v>221</v>
      </c>
      <c r="I76" s="177" t="s">
        <v>222</v>
      </c>
      <c r="J76" s="177" t="s">
        <v>3</v>
      </c>
      <c r="K76" s="177" t="s">
        <v>77</v>
      </c>
      <c r="L76" s="178">
        <f>77505.57*0.3</f>
        <v>23251.671000000002</v>
      </c>
      <c r="M76" s="243">
        <v>0.32</v>
      </c>
      <c r="N76" s="178">
        <f>+Table1[[#This Row],[PO Amount]]*Table1[[#This Row],[Theorical Margen]]</f>
        <v>7440.5347200000006</v>
      </c>
      <c r="O76" s="178">
        <f>+Table1[[#This Row],[PO Amount]]-Table1[[#This Row],[Quoted Rev]]</f>
        <v>15811.136280000002</v>
      </c>
      <c r="P76" s="178">
        <v>0</v>
      </c>
      <c r="Q76" s="178" t="s">
        <v>51</v>
      </c>
      <c r="R76" s="178"/>
      <c r="S76" s="178"/>
      <c r="T76" s="178"/>
      <c r="U76" s="178">
        <f>(Table1[[#This Row],[Invoice Date]]-Table1[[#This Row],[Month]])/7</f>
        <v>1.1428571428571428</v>
      </c>
      <c r="V76" s="178"/>
      <c r="W76" s="178">
        <f t="shared" si="9"/>
        <v>0</v>
      </c>
      <c r="X76" s="178"/>
      <c r="Y76" s="178"/>
      <c r="Z76" s="178"/>
      <c r="AA76" s="178"/>
      <c r="AB76" s="178"/>
      <c r="AC76" s="178"/>
      <c r="AD76" s="193"/>
      <c r="AE76" s="193"/>
      <c r="AF76" s="178"/>
      <c r="AG76" s="178" t="s">
        <v>98</v>
      </c>
      <c r="AH76" s="179">
        <v>0.3</v>
      </c>
      <c r="AI76" s="193">
        <v>1184</v>
      </c>
      <c r="AJ76" s="178" t="s">
        <v>93</v>
      </c>
      <c r="AK76" s="178">
        <f>77505.57*0.3</f>
        <v>23251.671000000002</v>
      </c>
      <c r="AL76" s="244">
        <v>45819</v>
      </c>
      <c r="AM76" s="215">
        <f>(Table1[[#This Row],[Invoice Date]]-Table1[[#This Row],[Month]])/7</f>
        <v>1.1428571428571428</v>
      </c>
      <c r="AN76" s="229">
        <v>30</v>
      </c>
      <c r="AO76" s="263">
        <f t="shared" si="3"/>
        <v>45849</v>
      </c>
      <c r="AP76" s="178" t="s">
        <v>94</v>
      </c>
      <c r="AQ76" s="201" t="str">
        <f ca="1">IF(AND(AO76&lt;TODAY(),Table1[[#This Row],[Payment Status]]="Pending"),"Past Due", "OK")</f>
        <v>OK</v>
      </c>
      <c r="AR76" s="220"/>
    </row>
    <row r="77" spans="1:44" ht="29.25" customHeight="1">
      <c r="A77" s="173">
        <v>45811</v>
      </c>
      <c r="B77" s="174" t="s">
        <v>95</v>
      </c>
      <c r="C77" s="278" t="s">
        <v>223</v>
      </c>
      <c r="D77" s="174"/>
      <c r="E77" s="174"/>
      <c r="F77" s="174"/>
      <c r="G77" s="245" t="s">
        <v>224</v>
      </c>
      <c r="H77" s="177" t="s">
        <v>221</v>
      </c>
      <c r="I77" s="177" t="s">
        <v>222</v>
      </c>
      <c r="J77" s="177" t="s">
        <v>3</v>
      </c>
      <c r="K77" s="177" t="s">
        <v>77</v>
      </c>
      <c r="L77" s="178">
        <f>77505.57*0.3</f>
        <v>23251.671000000002</v>
      </c>
      <c r="M77" s="243">
        <v>0.32</v>
      </c>
      <c r="N77" s="178">
        <f>+Table1[[#This Row],[PO Amount]]*Table1[[#This Row],[Theorical Margen]]</f>
        <v>7440.5347200000006</v>
      </c>
      <c r="O77" s="178">
        <f>+Table1[[#This Row],[PO Amount]]-Table1[[#This Row],[Quoted Rev]]</f>
        <v>15811.136280000002</v>
      </c>
      <c r="P77" s="178">
        <v>0</v>
      </c>
      <c r="Q77" s="178" t="s">
        <v>51</v>
      </c>
      <c r="R77" s="178"/>
      <c r="S77" s="178"/>
      <c r="T77" s="178"/>
      <c r="U77" s="193">
        <f>(Table1[[#This Row],[Invoice Date]]-Table1[[#This Row],[Month]])/7</f>
        <v>16.428571428571427</v>
      </c>
      <c r="V77" s="178"/>
      <c r="W77" s="220">
        <f>T77+V77</f>
        <v>0</v>
      </c>
      <c r="X77" s="178"/>
      <c r="Y77" s="178"/>
      <c r="Z77" s="178"/>
      <c r="AA77" s="178"/>
      <c r="AB77" s="178"/>
      <c r="AC77" s="178"/>
      <c r="AD77" s="193"/>
      <c r="AE77" s="193"/>
      <c r="AF77" s="178"/>
      <c r="AG77" s="178" t="s">
        <v>187</v>
      </c>
      <c r="AH77" s="179">
        <v>0.3</v>
      </c>
      <c r="AI77" s="193">
        <v>1214</v>
      </c>
      <c r="AJ77" s="178" t="s">
        <v>150</v>
      </c>
      <c r="AK77" s="178">
        <f t="shared" ref="AK77:AK78" si="12">77505.57*0.3</f>
        <v>23251.671000000002</v>
      </c>
      <c r="AL77" s="244">
        <v>45926</v>
      </c>
      <c r="AM77" s="215">
        <f>(Table1[[#This Row],[Invoice Date]]-Table1[[#This Row],[Month]])/7</f>
        <v>16.428571428571427</v>
      </c>
      <c r="AN77" s="229">
        <v>30</v>
      </c>
      <c r="AO77" s="263">
        <f t="shared" si="3"/>
        <v>45956</v>
      </c>
      <c r="AP77" s="178" t="s">
        <v>53</v>
      </c>
      <c r="AQ77" s="201" t="str">
        <f ca="1">IF(AND(AO77&lt;TODAY(),Table1[[#This Row],[Payment Status]]="Pending"),"Past Due", "OK")</f>
        <v>Past Due</v>
      </c>
      <c r="AR77" s="220">
        <v>45877</v>
      </c>
    </row>
    <row r="78" spans="1:44" ht="29.25" customHeight="1">
      <c r="A78" s="173">
        <v>45811</v>
      </c>
      <c r="B78" s="174" t="s">
        <v>95</v>
      </c>
      <c r="C78" s="278" t="s">
        <v>223</v>
      </c>
      <c r="D78" s="174"/>
      <c r="E78" s="174"/>
      <c r="F78" s="174"/>
      <c r="G78" s="245" t="s">
        <v>225</v>
      </c>
      <c r="H78" s="177" t="s">
        <v>221</v>
      </c>
      <c r="I78" s="177" t="s">
        <v>222</v>
      </c>
      <c r="J78" s="177" t="s">
        <v>3</v>
      </c>
      <c r="K78" s="177" t="s">
        <v>161</v>
      </c>
      <c r="L78" s="178">
        <f>77505.57*0.3</f>
        <v>23251.671000000002</v>
      </c>
      <c r="M78" s="243">
        <v>0.32</v>
      </c>
      <c r="N78" s="178">
        <f>+Table1[[#This Row],[PO Amount]]*Table1[[#This Row],[Theorical Margen]]</f>
        <v>7440.5347200000006</v>
      </c>
      <c r="O78" s="178">
        <f>+Table1[[#This Row],[PO Amount]]-Table1[[#This Row],[Quoted Rev]]</f>
        <v>15811.136280000002</v>
      </c>
      <c r="P78" s="178">
        <v>0</v>
      </c>
      <c r="Q78" s="178" t="s">
        <v>51</v>
      </c>
      <c r="R78" s="178"/>
      <c r="S78" s="178"/>
      <c r="T78" s="178"/>
      <c r="U78" s="193">
        <f>(Table1[[#This Row],[Invoice Date]]-Table1[[#This Row],[Month]])/7</f>
        <v>27.428571428571427</v>
      </c>
      <c r="V78" s="178"/>
      <c r="W78" s="220">
        <f>T78+V78</f>
        <v>0</v>
      </c>
      <c r="X78" s="178"/>
      <c r="Y78" s="178"/>
      <c r="Z78" s="178"/>
      <c r="AA78" s="178"/>
      <c r="AB78" s="178"/>
      <c r="AC78" s="178"/>
      <c r="AD78" s="193"/>
      <c r="AE78" s="193"/>
      <c r="AF78" s="178"/>
      <c r="AG78" s="178" t="s">
        <v>86</v>
      </c>
      <c r="AH78" s="179">
        <v>0.3</v>
      </c>
      <c r="AI78" s="193"/>
      <c r="AJ78" s="178" t="s">
        <v>53</v>
      </c>
      <c r="AK78" s="178">
        <f t="shared" si="12"/>
        <v>23251.671000000002</v>
      </c>
      <c r="AL78" s="244">
        <v>46003</v>
      </c>
      <c r="AM78" s="215">
        <f>(Table1[[#This Row],[Invoice Date]]-Table1[[#This Row],[Month]])/7</f>
        <v>27.428571428571427</v>
      </c>
      <c r="AN78" s="229">
        <v>30</v>
      </c>
      <c r="AO78" s="263">
        <f t="shared" si="3"/>
        <v>46033</v>
      </c>
      <c r="AP78" s="178" t="s">
        <v>53</v>
      </c>
      <c r="AQ78" s="201" t="str">
        <f ca="1">IF(AND(AO78&lt;TODAY(),Table1[[#This Row],[Payment Status]]="Pending"),"Past Due", "OK")</f>
        <v>OK</v>
      </c>
      <c r="AR78" s="220">
        <v>45954</v>
      </c>
    </row>
    <row r="79" spans="1:44" ht="29.25" customHeight="1">
      <c r="A79" s="173">
        <v>45811</v>
      </c>
      <c r="B79" s="174" t="s">
        <v>95</v>
      </c>
      <c r="C79" s="278" t="s">
        <v>223</v>
      </c>
      <c r="D79" s="174"/>
      <c r="E79" s="174"/>
      <c r="F79" s="174"/>
      <c r="G79" s="245" t="s">
        <v>225</v>
      </c>
      <c r="H79" s="177" t="s">
        <v>221</v>
      </c>
      <c r="I79" s="177" t="s">
        <v>222</v>
      </c>
      <c r="J79" s="177" t="s">
        <v>3</v>
      </c>
      <c r="K79" s="177" t="s">
        <v>161</v>
      </c>
      <c r="L79" s="178">
        <f>77505.57-L76-L77-L78</f>
        <v>7750.5570000000007</v>
      </c>
      <c r="M79" s="243">
        <v>0.32</v>
      </c>
      <c r="N79" s="178">
        <f>+Table1[[#This Row],[PO Amount]]*Table1[[#This Row],[Theorical Margen]]</f>
        <v>2480.1782400000002</v>
      </c>
      <c r="O79" s="178">
        <f>+Table1[[#This Row],[PO Amount]]-Table1[[#This Row],[Quoted Rev]]</f>
        <v>5270.3787600000005</v>
      </c>
      <c r="P79" s="178">
        <v>0</v>
      </c>
      <c r="Q79" s="178" t="s">
        <v>51</v>
      </c>
      <c r="R79" s="178"/>
      <c r="S79" s="178"/>
      <c r="T79" s="178"/>
      <c r="U79" s="178">
        <f>(Table1[[#This Row],[Invoice Date]]-Table1[[#This Row],[Month]])/7</f>
        <v>28.428571428571427</v>
      </c>
      <c r="V79" s="178"/>
      <c r="W79" s="178">
        <f t="shared" si="9"/>
        <v>0</v>
      </c>
      <c r="X79" s="178"/>
      <c r="Y79" s="178"/>
      <c r="Z79" s="178"/>
      <c r="AA79" s="178"/>
      <c r="AB79" s="178"/>
      <c r="AC79" s="178"/>
      <c r="AD79" s="193"/>
      <c r="AE79" s="193"/>
      <c r="AF79" s="178"/>
      <c r="AG79" s="178" t="s">
        <v>86</v>
      </c>
      <c r="AH79" s="179">
        <v>0.1</v>
      </c>
      <c r="AI79" s="193"/>
      <c r="AJ79" s="178" t="s">
        <v>53</v>
      </c>
      <c r="AK79" s="178">
        <f>77505.57-AK76-AK77-AK78</f>
        <v>7750.5570000000007</v>
      </c>
      <c r="AL79" s="244">
        <v>46010</v>
      </c>
      <c r="AM79" s="215">
        <f>(Table1[[#This Row],[Invoice Date]]-Table1[[#This Row],[Month]])/7</f>
        <v>28.428571428571427</v>
      </c>
      <c r="AN79" s="229">
        <v>30</v>
      </c>
      <c r="AO79" s="263">
        <f t="shared" si="3"/>
        <v>46040</v>
      </c>
      <c r="AP79" s="178" t="s">
        <v>53</v>
      </c>
      <c r="AQ79" s="201" t="str">
        <f ca="1">IF(AND(AO79&lt;TODAY(),Table1[[#This Row],[Payment Status]]="Pending"),"Past Due", "OK")</f>
        <v>OK</v>
      </c>
      <c r="AR79" s="220">
        <v>45975</v>
      </c>
    </row>
    <row r="80" spans="1:44">
      <c r="A80" s="173">
        <v>45775</v>
      </c>
      <c r="B80" s="174" t="s">
        <v>57</v>
      </c>
      <c r="C80" s="278" t="s">
        <v>58</v>
      </c>
      <c r="D80" s="174"/>
      <c r="E80" s="174"/>
      <c r="F80" s="174"/>
      <c r="G80" s="245" t="s">
        <v>59</v>
      </c>
      <c r="H80" s="177" t="s">
        <v>60</v>
      </c>
      <c r="I80" s="177" t="s">
        <v>61</v>
      </c>
      <c r="J80" s="177" t="s">
        <v>3</v>
      </c>
      <c r="K80" s="177" t="s">
        <v>50</v>
      </c>
      <c r="L80" s="178">
        <v>87398.81</v>
      </c>
      <c r="M80" s="243">
        <v>0.39</v>
      </c>
      <c r="N80" s="178">
        <f>+Table1[[#This Row],[PO Amount]]*Table1[[#This Row],[Theorical Margen]]</f>
        <v>34085.535900000003</v>
      </c>
      <c r="O80" s="178"/>
      <c r="P80" s="178"/>
      <c r="Q80" s="178"/>
      <c r="R80" s="178"/>
      <c r="S80" s="178"/>
      <c r="T80" s="178"/>
      <c r="U80" s="193">
        <f>(Table1[[#This Row],[Invoice Date]]-Table1[[#This Row],[Month]])/7</f>
        <v>-6539.2857142857147</v>
      </c>
      <c r="V80" s="178"/>
      <c r="W80" s="220">
        <f>T80+V80</f>
        <v>0</v>
      </c>
      <c r="X80" s="178"/>
      <c r="Y80" s="178"/>
      <c r="Z80" s="178"/>
      <c r="AA80" s="178"/>
      <c r="AB80" s="178"/>
      <c r="AC80" s="178"/>
      <c r="AD80" s="193"/>
      <c r="AE80" s="193"/>
      <c r="AF80" s="178"/>
      <c r="AG80" s="178"/>
      <c r="AH80" s="179"/>
      <c r="AI80" s="193"/>
      <c r="AJ80" s="178"/>
      <c r="AK80" s="178"/>
      <c r="AL80" s="244"/>
      <c r="AM80" s="220">
        <f>+Table1[[#This Row],[Invoice Date]]-Table1[[#This Row],[Month]]</f>
        <v>-45775</v>
      </c>
      <c r="AN80" s="229"/>
      <c r="AO80" s="244"/>
      <c r="AP80" s="178"/>
      <c r="AQ80" s="178"/>
      <c r="AR80" s="220"/>
    </row>
    <row r="81" spans="1:44">
      <c r="A81" s="173">
        <v>45775</v>
      </c>
      <c r="B81" s="174" t="s">
        <v>57</v>
      </c>
      <c r="C81" s="278" t="s">
        <v>58</v>
      </c>
      <c r="D81" s="174"/>
      <c r="E81" s="174"/>
      <c r="F81" s="174"/>
      <c r="G81" s="245" t="s">
        <v>59</v>
      </c>
      <c r="H81" s="177" t="s">
        <v>60</v>
      </c>
      <c r="I81" s="177" t="s">
        <v>61</v>
      </c>
      <c r="J81" s="177" t="s">
        <v>3</v>
      </c>
      <c r="K81" s="177" t="s">
        <v>50</v>
      </c>
      <c r="L81" s="178">
        <f>87398.81*0.3</f>
        <v>26219.643</v>
      </c>
      <c r="M81" s="243">
        <v>0.39810000000000001</v>
      </c>
      <c r="N81" s="178">
        <f>+Table1[[#This Row],[PO Amount]]*Table1[[#This Row],[Theorical Margen]]</f>
        <v>10438.0398783</v>
      </c>
      <c r="O81" s="178">
        <f>+Table1[[#This Row],[PO Amount]]-Table1[[#This Row],[Quoted Rev]]</f>
        <v>15781.6031217</v>
      </c>
      <c r="P81" s="178">
        <v>0</v>
      </c>
      <c r="Q81" s="178" t="s">
        <v>51</v>
      </c>
      <c r="R81" s="178"/>
      <c r="S81" s="178"/>
      <c r="T81" s="178"/>
      <c r="U81" s="178">
        <f>(Table1[[#This Row],[Invoice Date]]-Table1[[#This Row],[Month]])/7</f>
        <v>1.2857142857142858</v>
      </c>
      <c r="V81" s="178"/>
      <c r="W81" s="178">
        <f t="shared" si="9"/>
        <v>0</v>
      </c>
      <c r="X81" s="178"/>
      <c r="Y81" s="178"/>
      <c r="Z81" s="178"/>
      <c r="AA81" s="178"/>
      <c r="AB81" s="178"/>
      <c r="AC81" s="178"/>
      <c r="AD81" s="193"/>
      <c r="AE81" s="193"/>
      <c r="AF81" s="178"/>
      <c r="AG81" s="178" t="s">
        <v>98</v>
      </c>
      <c r="AH81" s="179">
        <v>0.3</v>
      </c>
      <c r="AI81" s="193">
        <v>1168</v>
      </c>
      <c r="AJ81" s="178" t="s">
        <v>93</v>
      </c>
      <c r="AK81" s="178">
        <f>+Table1[[#This Row],[PO Amount]]</f>
        <v>26219.643</v>
      </c>
      <c r="AL81" s="244">
        <v>45784</v>
      </c>
      <c r="AM81" s="215">
        <f>(Table1[[#This Row],[Invoice Date]]-Table1[[#This Row],[Month]])/7</f>
        <v>1.2857142857142858</v>
      </c>
      <c r="AN81" s="229">
        <v>30</v>
      </c>
      <c r="AO81" s="263">
        <f t="shared" si="3"/>
        <v>45814</v>
      </c>
      <c r="AP81" s="178" t="s">
        <v>94</v>
      </c>
      <c r="AQ81" s="201" t="str">
        <f ca="1">IF(AND(AO81&lt;TODAY(),Table1[[#This Row],[Payment Status]]="Pending"),"Past Due", "OK")</f>
        <v>OK</v>
      </c>
      <c r="AR81" s="220"/>
    </row>
    <row r="82" spans="1:44">
      <c r="A82" s="173">
        <v>45775</v>
      </c>
      <c r="B82" s="174" t="s">
        <v>57</v>
      </c>
      <c r="C82" s="278" t="s">
        <v>58</v>
      </c>
      <c r="D82" s="174"/>
      <c r="E82" s="174"/>
      <c r="F82" s="174"/>
      <c r="G82" s="245" t="s">
        <v>59</v>
      </c>
      <c r="H82" s="177" t="s">
        <v>60</v>
      </c>
      <c r="I82" s="177" t="s">
        <v>61</v>
      </c>
      <c r="J82" s="177" t="s">
        <v>3</v>
      </c>
      <c r="K82" s="177" t="s">
        <v>50</v>
      </c>
      <c r="L82" s="178">
        <f>87398.81*0.3</f>
        <v>26219.643</v>
      </c>
      <c r="M82" s="243">
        <v>0.39810000000000001</v>
      </c>
      <c r="N82" s="178">
        <f>+Table1[[#This Row],[PO Amount]]*Table1[[#This Row],[Theorical Margen]]</f>
        <v>10438.0398783</v>
      </c>
      <c r="O82" s="178">
        <f>+Table1[[#This Row],[PO Amount]]-Table1[[#This Row],[Quoted Rev]]</f>
        <v>15781.6031217</v>
      </c>
      <c r="P82" s="178">
        <v>0</v>
      </c>
      <c r="Q82" s="178" t="s">
        <v>51</v>
      </c>
      <c r="R82" s="178"/>
      <c r="S82" s="178"/>
      <c r="T82" s="178"/>
      <c r="U82" s="178">
        <f>(Table1[[#This Row],[Invoice Date]]-Table1[[#This Row],[Month]])/7</f>
        <v>10.571428571428571</v>
      </c>
      <c r="V82" s="178"/>
      <c r="W82" s="178">
        <f t="shared" si="9"/>
        <v>0</v>
      </c>
      <c r="X82" s="178"/>
      <c r="Y82" s="178"/>
      <c r="Z82" s="178"/>
      <c r="AA82" s="178"/>
      <c r="AB82" s="178"/>
      <c r="AC82" s="178"/>
      <c r="AD82" s="193"/>
      <c r="AE82" s="193"/>
      <c r="AF82" s="178"/>
      <c r="AG82" s="178" t="s">
        <v>187</v>
      </c>
      <c r="AH82" s="179">
        <v>0.3</v>
      </c>
      <c r="AI82" s="193">
        <v>1197</v>
      </c>
      <c r="AJ82" s="178" t="s">
        <v>93</v>
      </c>
      <c r="AK82" s="178">
        <f>+Table1[[#This Row],[PO Amount]]</f>
        <v>26219.643</v>
      </c>
      <c r="AL82" s="244">
        <v>45849</v>
      </c>
      <c r="AM82" s="215">
        <f>(Table1[[#This Row],[Invoice Date]]-Table1[[#This Row],[Month]])/7</f>
        <v>10.571428571428571</v>
      </c>
      <c r="AN82" s="229">
        <v>30</v>
      </c>
      <c r="AO82" s="263">
        <f t="shared" si="3"/>
        <v>45879</v>
      </c>
      <c r="AP82" s="178" t="s">
        <v>94</v>
      </c>
      <c r="AQ82" s="201" t="str">
        <f ca="1">IF(AND(AO82&lt;TODAY(),Table1[[#This Row],[Payment Status]]="Pending"),"Past Due", "OK")</f>
        <v>OK</v>
      </c>
      <c r="AR82" s="220"/>
    </row>
    <row r="83" spans="1:44">
      <c r="A83" s="173">
        <v>45775</v>
      </c>
      <c r="B83" s="174" t="s">
        <v>57</v>
      </c>
      <c r="C83" s="278" t="s">
        <v>58</v>
      </c>
      <c r="D83" s="174"/>
      <c r="E83" s="174"/>
      <c r="F83" s="174"/>
      <c r="G83" s="245" t="s">
        <v>59</v>
      </c>
      <c r="H83" s="177" t="s">
        <v>60</v>
      </c>
      <c r="I83" s="177" t="s">
        <v>61</v>
      </c>
      <c r="J83" s="177" t="s">
        <v>3</v>
      </c>
      <c r="K83" s="177" t="s">
        <v>50</v>
      </c>
      <c r="L83" s="178">
        <f>(87398.81*0.3)/2</f>
        <v>13109.8215</v>
      </c>
      <c r="M83" s="243">
        <v>0.39810000000000001</v>
      </c>
      <c r="N83" s="178">
        <f>+Table1[[#This Row],[PO Amount]]*Table1[[#This Row],[Theorical Margen]]</f>
        <v>5219.01993915</v>
      </c>
      <c r="O83" s="178">
        <f>+Table1[[#This Row],[PO Amount]]-Table1[[#This Row],[Quoted Rev]]</f>
        <v>7890.80156085</v>
      </c>
      <c r="P83" s="178">
        <v>0</v>
      </c>
      <c r="Q83" s="178" t="s">
        <v>51</v>
      </c>
      <c r="R83" s="178"/>
      <c r="S83" s="178"/>
      <c r="T83" s="178"/>
      <c r="U83" s="178">
        <f>(Table1[[#This Row],[Invoice Date]]-Table1[[#This Row],[Month]])/7</f>
        <v>26.428571428571427</v>
      </c>
      <c r="V83" s="178"/>
      <c r="W83" s="178">
        <f t="shared" si="9"/>
        <v>0</v>
      </c>
      <c r="X83" s="178"/>
      <c r="Y83" s="178"/>
      <c r="Z83" s="178"/>
      <c r="AA83" s="178"/>
      <c r="AB83" s="178"/>
      <c r="AC83" s="178"/>
      <c r="AD83" s="193"/>
      <c r="AE83" s="193"/>
      <c r="AF83" s="178"/>
      <c r="AG83" s="178" t="s">
        <v>62</v>
      </c>
      <c r="AH83" s="179">
        <v>0.15</v>
      </c>
      <c r="AI83" s="193"/>
      <c r="AJ83" s="178" t="s">
        <v>53</v>
      </c>
      <c r="AK83" s="178">
        <f>+Table1[[#This Row],[PO Amount]]</f>
        <v>13109.8215</v>
      </c>
      <c r="AL83" s="244">
        <v>45960</v>
      </c>
      <c r="AM83" s="215">
        <f>(Table1[[#This Row],[Invoice Date]]-Table1[[#This Row],[Month]])/7</f>
        <v>26.428571428571427</v>
      </c>
      <c r="AN83" s="229">
        <v>30</v>
      </c>
      <c r="AO83" s="263">
        <f t="shared" si="3"/>
        <v>45990</v>
      </c>
      <c r="AP83" s="178" t="s">
        <v>53</v>
      </c>
      <c r="AQ83" s="178" t="s">
        <v>51</v>
      </c>
      <c r="AR83" s="220">
        <v>45889</v>
      </c>
    </row>
    <row r="84" spans="1:44">
      <c r="A84" s="173">
        <v>45775</v>
      </c>
      <c r="B84" s="174" t="s">
        <v>57</v>
      </c>
      <c r="C84" s="278" t="s">
        <v>58</v>
      </c>
      <c r="D84" s="174"/>
      <c r="E84" s="174"/>
      <c r="F84" s="174"/>
      <c r="G84" s="245" t="s">
        <v>59</v>
      </c>
      <c r="H84" s="177" t="s">
        <v>60</v>
      </c>
      <c r="I84" s="177" t="s">
        <v>61</v>
      </c>
      <c r="J84" s="177" t="s">
        <v>3</v>
      </c>
      <c r="K84" s="177" t="s">
        <v>50</v>
      </c>
      <c r="L84" s="178">
        <v>13109.82</v>
      </c>
      <c r="M84" s="243">
        <v>0.39810000000000001</v>
      </c>
      <c r="N84" s="178">
        <f>+Table1[[#This Row],[PO Amount]]*Table1[[#This Row],[Theorical Margen]]</f>
        <v>5219.0193419999996</v>
      </c>
      <c r="O84" s="178">
        <f>+Table1[[#This Row],[PO Amount]]-Table1[[#This Row],[Quoted Rev]]</f>
        <v>7890.8006580000001</v>
      </c>
      <c r="P84" s="178"/>
      <c r="Q84" s="178" t="s">
        <v>51</v>
      </c>
      <c r="R84" s="178"/>
      <c r="S84" s="178"/>
      <c r="T84" s="178"/>
      <c r="U84" s="193">
        <f>(Table1[[#This Row],[Invoice Date]]-Table1[[#This Row],[Month]])/7</f>
        <v>30.857142857142858</v>
      </c>
      <c r="V84" s="178"/>
      <c r="W84" s="220">
        <f>T84+V84</f>
        <v>0</v>
      </c>
      <c r="X84" s="178"/>
      <c r="Y84" s="178"/>
      <c r="Z84" s="178"/>
      <c r="AA84" s="178"/>
      <c r="AB84" s="178"/>
      <c r="AC84" s="178"/>
      <c r="AD84" s="193"/>
      <c r="AE84" s="193"/>
      <c r="AF84" s="178"/>
      <c r="AG84" s="178" t="s">
        <v>62</v>
      </c>
      <c r="AH84" s="179">
        <v>0.15</v>
      </c>
      <c r="AI84" s="193"/>
      <c r="AJ84" s="178" t="s">
        <v>53</v>
      </c>
      <c r="AK84" s="178">
        <f>+Table1[[#This Row],[PO Amount]]</f>
        <v>13109.82</v>
      </c>
      <c r="AL84" s="244">
        <v>45991</v>
      </c>
      <c r="AM84" s="215">
        <f>(Table1[[#This Row],[Invoice Date]]-Table1[[#This Row],[Month]])/7</f>
        <v>30.857142857142858</v>
      </c>
      <c r="AN84" s="229">
        <v>30</v>
      </c>
      <c r="AO84" s="244"/>
      <c r="AP84" s="178"/>
      <c r="AQ84" s="178"/>
      <c r="AR84" s="220"/>
    </row>
    <row r="85" spans="1:44">
      <c r="A85" s="173">
        <v>45775</v>
      </c>
      <c r="B85" s="174" t="s">
        <v>57</v>
      </c>
      <c r="C85" s="278" t="s">
        <v>58</v>
      </c>
      <c r="D85" s="174"/>
      <c r="E85" s="174"/>
      <c r="F85" s="174"/>
      <c r="G85" s="245" t="s">
        <v>59</v>
      </c>
      <c r="H85" s="177" t="s">
        <v>60</v>
      </c>
      <c r="I85" s="177" t="s">
        <v>61</v>
      </c>
      <c r="J85" s="177" t="s">
        <v>3</v>
      </c>
      <c r="K85" s="177" t="s">
        <v>50</v>
      </c>
      <c r="L85" s="178">
        <v>8739.8799999999992</v>
      </c>
      <c r="M85" s="243">
        <v>0.39810000000000001</v>
      </c>
      <c r="N85" s="178">
        <f>+Table1[[#This Row],[PO Amount]]*Table1[[#This Row],[Theorical Margen]]</f>
        <v>3479.3462279999999</v>
      </c>
      <c r="O85" s="178">
        <f>+Table1[[#This Row],[PO Amount]]-Table1[[#This Row],[Quoted Rev]]</f>
        <v>5260.5337719999989</v>
      </c>
      <c r="P85" s="178"/>
      <c r="Q85" s="178" t="s">
        <v>51</v>
      </c>
      <c r="R85" s="178"/>
      <c r="S85" s="178"/>
      <c r="T85" s="178"/>
      <c r="U85" s="193">
        <f>(Table1[[#This Row],[Invoice Date]]-Table1[[#This Row],[Month]])/7</f>
        <v>27.428571428571427</v>
      </c>
      <c r="V85" s="178"/>
      <c r="W85" s="220">
        <f>T85+V85</f>
        <v>0</v>
      </c>
      <c r="X85" s="178"/>
      <c r="Y85" s="178"/>
      <c r="Z85" s="178"/>
      <c r="AA85" s="178"/>
      <c r="AB85" s="178"/>
      <c r="AC85" s="178"/>
      <c r="AD85" s="193"/>
      <c r="AE85" s="193"/>
      <c r="AF85" s="178"/>
      <c r="AG85" s="178" t="s">
        <v>86</v>
      </c>
      <c r="AH85" s="179">
        <v>0.05</v>
      </c>
      <c r="AI85" s="193"/>
      <c r="AJ85" s="178" t="s">
        <v>53</v>
      </c>
      <c r="AK85" s="178">
        <f>+Table1[[#This Row],[PO Amount]]</f>
        <v>8739.8799999999992</v>
      </c>
      <c r="AL85" s="244">
        <v>45967</v>
      </c>
      <c r="AM85" s="215">
        <f>(Table1[[#This Row],[Invoice Date]]-Table1[[#This Row],[Month]])/7</f>
        <v>27.428571428571427</v>
      </c>
      <c r="AN85" s="229">
        <v>30</v>
      </c>
      <c r="AO85" s="244"/>
      <c r="AP85" s="178"/>
      <c r="AQ85" s="178"/>
      <c r="AR85" s="220"/>
    </row>
    <row r="86" spans="1:44">
      <c r="A86" s="173">
        <v>45775</v>
      </c>
      <c r="B86" s="174" t="s">
        <v>57</v>
      </c>
      <c r="C86" s="278" t="s">
        <v>58</v>
      </c>
      <c r="D86" s="174"/>
      <c r="E86" s="174"/>
      <c r="F86" s="174"/>
      <c r="G86" s="245" t="s">
        <v>59</v>
      </c>
      <c r="H86" s="177" t="s">
        <v>60</v>
      </c>
      <c r="I86" s="177" t="s">
        <v>61</v>
      </c>
      <c r="J86" s="177" t="s">
        <v>3</v>
      </c>
      <c r="K86" s="177" t="s">
        <v>50</v>
      </c>
      <c r="L86" s="178">
        <f>87398.81*0.1</f>
        <v>8739.8809999999994</v>
      </c>
      <c r="M86" s="243">
        <v>0.39810000000000001</v>
      </c>
      <c r="N86" s="178">
        <f>+Table1[[#This Row],[PO Amount]]*Table1[[#This Row],[Theorical Margen]]</f>
        <v>3479.3466260999999</v>
      </c>
      <c r="O86" s="178">
        <f>+Table1[[#This Row],[PO Amount]]-Table1[[#This Row],[Quoted Rev]]</f>
        <v>5260.5343739</v>
      </c>
      <c r="P86" s="178">
        <v>0</v>
      </c>
      <c r="Q86" s="178" t="s">
        <v>51</v>
      </c>
      <c r="R86" s="178"/>
      <c r="S86" s="178"/>
      <c r="T86" s="178"/>
      <c r="U86" s="193">
        <f>(Table1[[#This Row],[Invoice Date]]-Table1[[#This Row],[Month]])/7</f>
        <v>30.857142857142858</v>
      </c>
      <c r="V86" s="178"/>
      <c r="W86" s="220">
        <f>T86+V86</f>
        <v>0</v>
      </c>
      <c r="X86" s="178"/>
      <c r="Y86" s="178"/>
      <c r="Z86" s="178"/>
      <c r="AA86" s="178"/>
      <c r="AB86" s="178"/>
      <c r="AC86" s="178"/>
      <c r="AD86" s="193"/>
      <c r="AE86" s="193"/>
      <c r="AF86" s="178"/>
      <c r="AG86" s="178" t="s">
        <v>86</v>
      </c>
      <c r="AH86" s="179">
        <v>0.05</v>
      </c>
      <c r="AI86" s="193"/>
      <c r="AJ86" s="178" t="s">
        <v>53</v>
      </c>
      <c r="AK86" s="178">
        <f>+Table1[[#This Row],[PO Amount]]</f>
        <v>8739.8809999999994</v>
      </c>
      <c r="AL86" s="244">
        <v>45991</v>
      </c>
      <c r="AM86" s="215">
        <f>(Table1[[#This Row],[Invoice Date]]-Table1[[#This Row],[Month]])/7</f>
        <v>30.857142857142858</v>
      </c>
      <c r="AN86" s="229">
        <v>30</v>
      </c>
      <c r="AO86" s="263">
        <f t="shared" si="3"/>
        <v>46021</v>
      </c>
      <c r="AP86" s="178" t="s">
        <v>53</v>
      </c>
      <c r="AQ86" s="178" t="s">
        <v>51</v>
      </c>
      <c r="AR86" s="220">
        <v>45917</v>
      </c>
    </row>
    <row r="87" spans="1:44" ht="15.75">
      <c r="A87" s="173">
        <v>45726</v>
      </c>
      <c r="B87" s="174" t="s">
        <v>191</v>
      </c>
      <c r="C87" s="270" t="s">
        <v>226</v>
      </c>
      <c r="D87" s="174"/>
      <c r="E87" s="174"/>
      <c r="F87" s="174"/>
      <c r="G87" s="269" t="s">
        <v>227</v>
      </c>
      <c r="H87" s="177" t="s">
        <v>228</v>
      </c>
      <c r="I87" s="177" t="s">
        <v>229</v>
      </c>
      <c r="J87" s="177" t="s">
        <v>49</v>
      </c>
      <c r="K87" s="177" t="s">
        <v>195</v>
      </c>
      <c r="L87" s="178">
        <v>3610</v>
      </c>
      <c r="M87" s="242">
        <v>0.32</v>
      </c>
      <c r="N87" s="178">
        <f>+Table1[[#This Row],[PO Amount]]*Table1[[#This Row],[Theorical Margen]]</f>
        <v>1155.2</v>
      </c>
      <c r="O87" s="178">
        <f>+Table1[[#This Row],[PO Amount]]-Table1[[#This Row],[Quoted Rev]]</f>
        <v>2454.8000000000002</v>
      </c>
      <c r="P87" s="178"/>
      <c r="Q87" s="178"/>
      <c r="R87" s="178"/>
      <c r="S87" s="178"/>
      <c r="T87" s="178"/>
      <c r="U87" s="193">
        <f>(Table1[[#This Row],[Invoice Date]]-Table1[[#This Row],[Month]])/7</f>
        <v>-6532.2857142857147</v>
      </c>
      <c r="V87" s="178"/>
      <c r="W87" s="220">
        <f>T87+V87</f>
        <v>0</v>
      </c>
      <c r="X87" s="178"/>
      <c r="Y87" s="178"/>
      <c r="Z87" s="178"/>
      <c r="AA87" s="178"/>
      <c r="AB87" s="178"/>
      <c r="AC87" s="178"/>
      <c r="AD87" s="193"/>
      <c r="AE87" s="193"/>
      <c r="AF87" s="178"/>
      <c r="AG87" s="178"/>
      <c r="AH87" s="179"/>
      <c r="AI87" s="193"/>
      <c r="AJ87" s="178"/>
      <c r="AK87" s="178"/>
      <c r="AL87" s="244"/>
      <c r="AM87" s="220">
        <f>+Table1[[#This Row],[Invoice Date]]-Table1[[#This Row],[Month]]</f>
        <v>-45726</v>
      </c>
      <c r="AN87" s="229"/>
      <c r="AO87" s="244"/>
      <c r="AP87" s="178"/>
      <c r="AQ87" s="178"/>
      <c r="AR87" s="220"/>
    </row>
    <row r="88" spans="1:44">
      <c r="A88" s="173">
        <v>45804</v>
      </c>
      <c r="B88" s="174" t="s">
        <v>191</v>
      </c>
      <c r="C88" s="278" t="s">
        <v>230</v>
      </c>
      <c r="D88" s="174"/>
      <c r="E88" s="174"/>
      <c r="F88" s="174"/>
      <c r="G88" s="245" t="s">
        <v>231</v>
      </c>
      <c r="H88" s="177" t="s">
        <v>228</v>
      </c>
      <c r="I88" s="177" t="s">
        <v>229</v>
      </c>
      <c r="J88" s="177" t="s">
        <v>3</v>
      </c>
      <c r="K88" s="177" t="s">
        <v>232</v>
      </c>
      <c r="L88" s="178">
        <v>620</v>
      </c>
      <c r="M88" s="179">
        <f>+Table1[[#This Row],[Quoted Rev]]/Table1[[#This Row],[PO Amount]]</f>
        <v>0.30451612903225811</v>
      </c>
      <c r="N88" s="178">
        <v>188.8</v>
      </c>
      <c r="O88" s="178">
        <f>+Table1[[#This Row],[PO Amount]]-Table1[[#This Row],[Quoted Rev]]</f>
        <v>431.2</v>
      </c>
      <c r="P88" s="178">
        <v>0</v>
      </c>
      <c r="Q88" s="178" t="s">
        <v>51</v>
      </c>
      <c r="R88" s="178"/>
      <c r="S88" s="178"/>
      <c r="T88" s="178"/>
      <c r="U88" s="178">
        <f>(Table1[[#This Row],[Invoice Date]]-Table1[[#This Row],[Month]])/7</f>
        <v>2.1428571428571428</v>
      </c>
      <c r="V88" s="178"/>
      <c r="W88" s="178">
        <f t="shared" si="9"/>
        <v>0</v>
      </c>
      <c r="X88" s="178"/>
      <c r="Y88" s="178"/>
      <c r="Z88" s="178"/>
      <c r="AA88" s="178"/>
      <c r="AB88" s="178"/>
      <c r="AC88" s="178"/>
      <c r="AD88" s="193"/>
      <c r="AE88" s="193"/>
      <c r="AF88" s="178"/>
      <c r="AG88" s="178" t="s">
        <v>52</v>
      </c>
      <c r="AH88" s="179">
        <v>1</v>
      </c>
      <c r="AI88" s="193">
        <v>1186</v>
      </c>
      <c r="AJ88" s="178" t="s">
        <v>93</v>
      </c>
      <c r="AK88" s="178">
        <f>+Table1[[#This Row],[PO Amount]]</f>
        <v>620</v>
      </c>
      <c r="AL88" s="244">
        <v>45819</v>
      </c>
      <c r="AM88" s="215">
        <f>(Table1[[#This Row],[Invoice Date]]-Table1[[#This Row],[Month]])/7</f>
        <v>2.1428571428571428</v>
      </c>
      <c r="AN88" s="229">
        <v>90</v>
      </c>
      <c r="AO88" s="263">
        <f t="shared" si="3"/>
        <v>45909</v>
      </c>
      <c r="AP88" s="178" t="s">
        <v>53</v>
      </c>
      <c r="AQ88" s="201" t="str">
        <f ca="1">IF(AND(AO88&lt;TODAY(),Table1[[#This Row],[Payment Status]]="Pending"),"Past Due", "OK")</f>
        <v>Past Due</v>
      </c>
      <c r="AR88" s="220"/>
    </row>
    <row r="89" spans="1:44">
      <c r="A89" s="173">
        <v>45792</v>
      </c>
      <c r="B89" s="174" t="s">
        <v>57</v>
      </c>
      <c r="C89" s="278" t="s">
        <v>233</v>
      </c>
      <c r="D89" s="174"/>
      <c r="E89" s="174"/>
      <c r="F89" s="174"/>
      <c r="G89" s="245" t="s">
        <v>234</v>
      </c>
      <c r="H89" s="177" t="s">
        <v>235</v>
      </c>
      <c r="I89" s="177" t="s">
        <v>200</v>
      </c>
      <c r="J89" s="177" t="s">
        <v>49</v>
      </c>
      <c r="K89" s="177" t="s">
        <v>50</v>
      </c>
      <c r="L89" s="178">
        <v>29783</v>
      </c>
      <c r="M89" s="179">
        <f>+Table1[[#This Row],[Quoted Rev]]/Table1[[#This Row],[PO Amount]]</f>
        <v>0.44872981230903536</v>
      </c>
      <c r="N89" s="178">
        <v>13364.52</v>
      </c>
      <c r="O89" s="178">
        <f>+Table1[[#This Row],[PO Amount]]-Table1[[#This Row],[Quoted Rev]]</f>
        <v>16418.48</v>
      </c>
      <c r="P89" s="178">
        <v>0</v>
      </c>
      <c r="Q89" s="178" t="s">
        <v>51</v>
      </c>
      <c r="R89" s="178"/>
      <c r="S89" s="178"/>
      <c r="T89" s="178"/>
      <c r="U89" s="178">
        <f>(Table1[[#This Row],[Invoice Date]]-Table1[[#This Row],[Month]])/7</f>
        <v>20.714285714285715</v>
      </c>
      <c r="V89" s="178"/>
      <c r="W89" s="178">
        <f t="shared" si="9"/>
        <v>0</v>
      </c>
      <c r="X89" s="178"/>
      <c r="Y89" s="178"/>
      <c r="Z89" s="178"/>
      <c r="AA89" s="178"/>
      <c r="AB89" s="178"/>
      <c r="AC89" s="178"/>
      <c r="AD89" s="193"/>
      <c r="AE89" s="193"/>
      <c r="AF89" s="178"/>
      <c r="AG89" s="178" t="s">
        <v>52</v>
      </c>
      <c r="AH89" s="179">
        <v>1</v>
      </c>
      <c r="AI89" s="193">
        <v>1219</v>
      </c>
      <c r="AJ89" s="178" t="s">
        <v>150</v>
      </c>
      <c r="AK89" s="178">
        <f>+Table1[[#This Row],[PO Amount]]</f>
        <v>29783</v>
      </c>
      <c r="AL89" s="244">
        <v>45937</v>
      </c>
      <c r="AM89" s="215">
        <f>(Table1[[#This Row],[Invoice Date]]-Table1[[#This Row],[Month]])/7</f>
        <v>20.714285714285715</v>
      </c>
      <c r="AN89" s="229">
        <v>30</v>
      </c>
      <c r="AO89" s="263">
        <f t="shared" si="3"/>
        <v>45967</v>
      </c>
      <c r="AP89" s="178" t="s">
        <v>53</v>
      </c>
      <c r="AQ89" s="201" t="str">
        <f ca="1">IF(AND(AO89&lt;TODAY(),Table1[[#This Row],[Payment Status]]="Pending"),"Past Due", "OK")</f>
        <v>Past Due</v>
      </c>
      <c r="AR89" s="220">
        <v>45901</v>
      </c>
    </row>
    <row r="90" spans="1:44">
      <c r="A90" s="173">
        <v>45812</v>
      </c>
      <c r="B90" s="174" t="s">
        <v>191</v>
      </c>
      <c r="C90" s="278" t="s">
        <v>236</v>
      </c>
      <c r="D90" s="174"/>
      <c r="E90" s="174"/>
      <c r="F90" s="174"/>
      <c r="G90" s="245" t="s">
        <v>237</v>
      </c>
      <c r="H90" s="177" t="s">
        <v>199</v>
      </c>
      <c r="I90" s="177" t="s">
        <v>200</v>
      </c>
      <c r="J90" s="177" t="s">
        <v>3</v>
      </c>
      <c r="K90" s="177" t="s">
        <v>232</v>
      </c>
      <c r="L90" s="178">
        <v>38500</v>
      </c>
      <c r="M90" s="179">
        <f>+Table1[[#This Row],[Quoted Rev]]/Table1[[#This Row],[PO Amount]]</f>
        <v>0.36828519480519478</v>
      </c>
      <c r="N90" s="178">
        <v>14178.98</v>
      </c>
      <c r="O90" s="178">
        <f>+Table1[[#This Row],[PO Amount]]-Table1[[#This Row],[Quoted Rev]]</f>
        <v>24321.02</v>
      </c>
      <c r="P90" s="178">
        <v>0</v>
      </c>
      <c r="Q90" s="178" t="s">
        <v>51</v>
      </c>
      <c r="R90" s="178"/>
      <c r="S90" s="178"/>
      <c r="T90" s="178"/>
      <c r="U90" s="178">
        <f>(Table1[[#This Row],[Invoice Date]]-Table1[[#This Row],[Month]])/7</f>
        <v>22.285714285714285</v>
      </c>
      <c r="V90" s="178"/>
      <c r="W90" s="178">
        <f t="shared" si="9"/>
        <v>0</v>
      </c>
      <c r="X90" s="178"/>
      <c r="Y90" s="178"/>
      <c r="Z90" s="178"/>
      <c r="AA90" s="178"/>
      <c r="AB90" s="178"/>
      <c r="AC90" s="178"/>
      <c r="AD90" s="193"/>
      <c r="AE90" s="193"/>
      <c r="AF90" s="178"/>
      <c r="AG90" s="178" t="s">
        <v>52</v>
      </c>
      <c r="AH90" s="179">
        <v>1</v>
      </c>
      <c r="AI90" s="193"/>
      <c r="AJ90" s="178" t="s">
        <v>53</v>
      </c>
      <c r="AK90" s="178">
        <v>38500</v>
      </c>
      <c r="AL90" s="244">
        <v>45968</v>
      </c>
      <c r="AM90" s="215">
        <f>(Table1[[#This Row],[Invoice Date]]-Table1[[#This Row],[Month]])/7</f>
        <v>22.285714285714285</v>
      </c>
      <c r="AN90" s="229">
        <v>90</v>
      </c>
      <c r="AO90" s="263">
        <f t="shared" si="3"/>
        <v>46058</v>
      </c>
      <c r="AP90" s="178" t="s">
        <v>53</v>
      </c>
      <c r="AQ90" s="201" t="str">
        <f ca="1">IF(AND(AO90&lt;TODAY(),Table1[[#This Row],[Payment Status]]="Pending"),"Past Due", "OK")</f>
        <v>OK</v>
      </c>
      <c r="AR90" s="220">
        <v>45915</v>
      </c>
    </row>
    <row r="91" spans="1:44" ht="15.75">
      <c r="A91" s="173">
        <v>45790</v>
      </c>
      <c r="B91" s="174" t="s">
        <v>57</v>
      </c>
      <c r="C91" s="278" t="s">
        <v>238</v>
      </c>
      <c r="D91" s="174"/>
      <c r="E91" s="174"/>
      <c r="F91" s="174"/>
      <c r="G91" s="269" t="s">
        <v>239</v>
      </c>
      <c r="H91" s="177" t="s">
        <v>240</v>
      </c>
      <c r="I91" s="177" t="s">
        <v>241</v>
      </c>
      <c r="J91" s="177" t="s">
        <v>49</v>
      </c>
      <c r="K91" s="177" t="s">
        <v>50</v>
      </c>
      <c r="L91" s="178">
        <v>7127.94</v>
      </c>
      <c r="M91" s="243">
        <v>0.15</v>
      </c>
      <c r="N91" s="178">
        <f>+Table1[[#This Row],[PO Amount]]*Table1[[#This Row],[Theorical Margen]]</f>
        <v>1069.1909999999998</v>
      </c>
      <c r="O91" s="178">
        <f>+Table1[[#This Row],[PO Amount]]-Table1[[#This Row],[Quoted Rev]]</f>
        <v>6058.7489999999998</v>
      </c>
      <c r="P91" s="178">
        <v>0</v>
      </c>
      <c r="Q91" s="178" t="s">
        <v>51</v>
      </c>
      <c r="R91" s="178"/>
      <c r="S91" s="178"/>
      <c r="T91" s="178"/>
      <c r="U91" s="178">
        <f>(Table1[[#This Row],[Invoice Date]]-Table1[[#This Row],[Month]])/7</f>
        <v>0</v>
      </c>
      <c r="V91" s="178"/>
      <c r="W91" s="178">
        <f t="shared" si="9"/>
        <v>0</v>
      </c>
      <c r="X91" s="178"/>
      <c r="Y91" s="178"/>
      <c r="Z91" s="178"/>
      <c r="AA91" s="178"/>
      <c r="AB91" s="178"/>
      <c r="AC91" s="178"/>
      <c r="AD91" s="193"/>
      <c r="AE91" s="193"/>
      <c r="AF91" s="178"/>
      <c r="AG91" s="178" t="s">
        <v>52</v>
      </c>
      <c r="AH91" s="179">
        <v>1</v>
      </c>
      <c r="AI91" s="193">
        <v>1183</v>
      </c>
      <c r="AJ91" s="178" t="s">
        <v>93</v>
      </c>
      <c r="AK91" s="178">
        <f>+Table1[[#This Row],[PO Amount]]</f>
        <v>7127.94</v>
      </c>
      <c r="AL91" s="244">
        <v>45790</v>
      </c>
      <c r="AM91" s="215">
        <f>(Table1[[#This Row],[Invoice Date]]-Table1[[#This Row],[Month]])/7</f>
        <v>0</v>
      </c>
      <c r="AN91" s="229">
        <v>30</v>
      </c>
      <c r="AO91" s="263">
        <f t="shared" si="3"/>
        <v>45820</v>
      </c>
      <c r="AP91" s="178" t="s">
        <v>94</v>
      </c>
      <c r="AQ91" s="201" t="str">
        <f ca="1">IF(AND(AO91&lt;TODAY(),Table1[[#This Row],[Payment Status]]="Pending"),"Past Due", "OK")</f>
        <v>OK</v>
      </c>
      <c r="AR91" s="220"/>
    </row>
    <row r="92" spans="1:44">
      <c r="A92" s="173">
        <v>45800</v>
      </c>
      <c r="B92" s="174" t="s">
        <v>191</v>
      </c>
      <c r="C92" s="278" t="s">
        <v>242</v>
      </c>
      <c r="D92" s="174"/>
      <c r="E92" s="174"/>
      <c r="F92" s="174"/>
      <c r="G92" s="245" t="s">
        <v>243</v>
      </c>
      <c r="H92" s="177" t="s">
        <v>137</v>
      </c>
      <c r="I92" s="177" t="s">
        <v>138</v>
      </c>
      <c r="J92" s="177" t="s">
        <v>3</v>
      </c>
      <c r="K92" s="177" t="s">
        <v>232</v>
      </c>
      <c r="L92" s="178">
        <v>5665</v>
      </c>
      <c r="M92" s="243">
        <v>0.3</v>
      </c>
      <c r="N92" s="178">
        <f>+Table1[[#This Row],[PO Amount]]*Table1[[#This Row],[Theorical Margen]]</f>
        <v>1699.5</v>
      </c>
      <c r="O92" s="178">
        <f>+Table1[[#This Row],[PO Amount]]-Table1[[#This Row],[Quoted Rev]]</f>
        <v>3965.5</v>
      </c>
      <c r="P92" s="178">
        <v>0</v>
      </c>
      <c r="Q92" s="178" t="s">
        <v>51</v>
      </c>
      <c r="R92" s="178"/>
      <c r="S92" s="178"/>
      <c r="T92" s="178"/>
      <c r="U92" s="178">
        <f>(Table1[[#This Row],[Invoice Date]]-Table1[[#This Row],[Month]])/7</f>
        <v>0</v>
      </c>
      <c r="V92" s="178"/>
      <c r="W92" s="178">
        <f t="shared" si="9"/>
        <v>0</v>
      </c>
      <c r="X92" s="178"/>
      <c r="Y92" s="178"/>
      <c r="Z92" s="178"/>
      <c r="AA92" s="178"/>
      <c r="AB92" s="178"/>
      <c r="AC92" s="178"/>
      <c r="AD92" s="193"/>
      <c r="AE92" s="193"/>
      <c r="AF92" s="178"/>
      <c r="AG92" s="178" t="s">
        <v>52</v>
      </c>
      <c r="AH92" s="179">
        <v>1</v>
      </c>
      <c r="AI92" s="193">
        <v>1177</v>
      </c>
      <c r="AJ92" s="178" t="s">
        <v>93</v>
      </c>
      <c r="AK92" s="178">
        <f>+Table1[[#This Row],[PO Amount]]</f>
        <v>5665</v>
      </c>
      <c r="AL92" s="244">
        <v>45800</v>
      </c>
      <c r="AM92" s="215">
        <f>(Table1[[#This Row],[Invoice Date]]-Table1[[#This Row],[Month]])/7</f>
        <v>0</v>
      </c>
      <c r="AN92" s="229">
        <v>30</v>
      </c>
      <c r="AO92" s="263">
        <f t="shared" si="3"/>
        <v>45830</v>
      </c>
      <c r="AP92" s="178" t="s">
        <v>94</v>
      </c>
      <c r="AQ92" s="201" t="str">
        <f ca="1">IF(AND(AO92&lt;TODAY(),Table1[[#This Row],[Payment Status]]="Pending"),"Past Due", "OK")</f>
        <v>OK</v>
      </c>
      <c r="AR92" s="220"/>
    </row>
    <row r="93" spans="1:44">
      <c r="A93" s="173">
        <v>45778</v>
      </c>
      <c r="B93" s="174" t="s">
        <v>57</v>
      </c>
      <c r="C93" s="278" t="s">
        <v>244</v>
      </c>
      <c r="D93" s="174"/>
      <c r="E93" s="174"/>
      <c r="F93" s="174"/>
      <c r="G93" s="176" t="s">
        <v>245</v>
      </c>
      <c r="H93" s="177" t="s">
        <v>145</v>
      </c>
      <c r="I93" s="177" t="s">
        <v>138</v>
      </c>
      <c r="J93" s="177" t="s">
        <v>3</v>
      </c>
      <c r="K93" s="177" t="s">
        <v>50</v>
      </c>
      <c r="L93" s="178">
        <v>41208.839999999997</v>
      </c>
      <c r="M93" s="242">
        <v>0.187</v>
      </c>
      <c r="N93" s="178">
        <f>+Table1[[#This Row],[Theorical Margen]]*Table1[[#This Row],[PO Amount]]</f>
        <v>7706.0530799999997</v>
      </c>
      <c r="O93" s="178">
        <f>+Table1[[#This Row],[PO Amount]]-Table1[[#This Row],[Quoted Rev]]</f>
        <v>33502.786919999999</v>
      </c>
      <c r="P93" s="178">
        <v>0</v>
      </c>
      <c r="Q93" s="178" t="s">
        <v>51</v>
      </c>
      <c r="R93" s="178"/>
      <c r="S93" s="178"/>
      <c r="T93" s="178"/>
      <c r="U93" s="178">
        <f>(Table1[[#This Row],[Invoice Date]]-Table1[[#This Row],[Month]])/7</f>
        <v>2.7142857142857144</v>
      </c>
      <c r="V93" s="178"/>
      <c r="W93" s="178">
        <f t="shared" si="9"/>
        <v>0</v>
      </c>
      <c r="X93" s="178"/>
      <c r="Y93" s="178"/>
      <c r="Z93" s="178"/>
      <c r="AA93" s="178"/>
      <c r="AB93" s="178"/>
      <c r="AC93" s="178"/>
      <c r="AD93" s="193"/>
      <c r="AE93" s="193"/>
      <c r="AF93" s="178"/>
      <c r="AG93" s="178" t="s">
        <v>52</v>
      </c>
      <c r="AH93" s="179">
        <v>1</v>
      </c>
      <c r="AI93" s="193">
        <v>1175</v>
      </c>
      <c r="AJ93" s="178" t="s">
        <v>93</v>
      </c>
      <c r="AK93" s="178">
        <v>41208.480000000003</v>
      </c>
      <c r="AL93" s="244">
        <v>45797</v>
      </c>
      <c r="AM93" s="215">
        <f>(Table1[[#This Row],[Invoice Date]]-Table1[[#This Row],[Month]])/7</f>
        <v>2.7142857142857144</v>
      </c>
      <c r="AN93" s="229">
        <v>30</v>
      </c>
      <c r="AO93" s="263">
        <f t="shared" si="3"/>
        <v>45827</v>
      </c>
      <c r="AP93" s="178" t="s">
        <v>53</v>
      </c>
      <c r="AQ93" s="201" t="str">
        <f ca="1">IF(AND(AO93&lt;TODAY(),Table1[[#This Row],[Payment Status]]="Pending"),"Past Due", "OK")</f>
        <v>Past Due</v>
      </c>
      <c r="AR93" s="220"/>
    </row>
    <row r="94" spans="1:44">
      <c r="A94" s="173">
        <v>45782</v>
      </c>
      <c r="B94" s="174" t="s">
        <v>191</v>
      </c>
      <c r="C94" s="278" t="s">
        <v>246</v>
      </c>
      <c r="D94" s="174"/>
      <c r="E94" s="174"/>
      <c r="F94" s="174"/>
      <c r="G94" s="176" t="s">
        <v>247</v>
      </c>
      <c r="H94" s="177" t="s">
        <v>248</v>
      </c>
      <c r="I94" s="177" t="s">
        <v>249</v>
      </c>
      <c r="J94" s="177" t="s">
        <v>3</v>
      </c>
      <c r="K94" s="177" t="s">
        <v>232</v>
      </c>
      <c r="L94" s="178">
        <v>29990.7</v>
      </c>
      <c r="M94" s="243">
        <v>0.1</v>
      </c>
      <c r="N94" s="178">
        <f>+Table1[[#This Row],[Theorical Margen]]*Table1[[#This Row],[PO Amount]]</f>
        <v>2999.07</v>
      </c>
      <c r="O94" s="178">
        <f>+Table1[[#This Row],[PO Amount]]-Table1[[#This Row],[Quoted Rev]]</f>
        <v>26991.63</v>
      </c>
      <c r="P94" s="178">
        <v>0</v>
      </c>
      <c r="Q94" s="178" t="s">
        <v>51</v>
      </c>
      <c r="R94" s="178"/>
      <c r="S94" s="178"/>
      <c r="T94" s="178"/>
      <c r="U94" s="178">
        <f>(Table1[[#This Row],[Invoice Date]]-Table1[[#This Row],[Month]])/7</f>
        <v>1.5714285714285714</v>
      </c>
      <c r="V94" s="178"/>
      <c r="W94" s="178">
        <f t="shared" si="9"/>
        <v>0</v>
      </c>
      <c r="X94" s="178"/>
      <c r="Y94" s="178"/>
      <c r="Z94" s="178"/>
      <c r="AA94" s="178"/>
      <c r="AB94" s="178"/>
      <c r="AC94" s="178"/>
      <c r="AD94" s="193"/>
      <c r="AE94" s="193"/>
      <c r="AF94" s="178"/>
      <c r="AG94" s="178" t="s">
        <v>52</v>
      </c>
      <c r="AH94" s="179">
        <v>1</v>
      </c>
      <c r="AI94" s="193">
        <v>1172</v>
      </c>
      <c r="AJ94" s="178" t="s">
        <v>93</v>
      </c>
      <c r="AK94" s="178">
        <f>+Table1[[#This Row],[PO Amount]]</f>
        <v>29990.7</v>
      </c>
      <c r="AL94" s="244">
        <v>45793</v>
      </c>
      <c r="AM94" s="215">
        <f>(Table1[[#This Row],[Invoice Date]]-Table1[[#This Row],[Month]])/7</f>
        <v>1.5714285714285714</v>
      </c>
      <c r="AN94" s="229">
        <v>30</v>
      </c>
      <c r="AO94" s="263">
        <f t="shared" si="3"/>
        <v>45823</v>
      </c>
      <c r="AP94" s="178" t="s">
        <v>94</v>
      </c>
      <c r="AQ94" s="201" t="str">
        <f ca="1">IF(AND(AO94&lt;TODAY(),Table1[[#This Row],[Payment Status]]="Pending"),"Past Due", "OK")</f>
        <v>OK</v>
      </c>
      <c r="AR94" s="220"/>
    </row>
    <row r="95" spans="1:44">
      <c r="A95" s="173">
        <v>45785</v>
      </c>
      <c r="B95" s="174" t="s">
        <v>95</v>
      </c>
      <c r="C95" s="278" t="s">
        <v>250</v>
      </c>
      <c r="D95" s="174"/>
      <c r="E95" s="174"/>
      <c r="F95" s="174"/>
      <c r="G95" s="176" t="s">
        <v>251</v>
      </c>
      <c r="H95" s="177" t="s">
        <v>75</v>
      </c>
      <c r="I95" s="177" t="s">
        <v>76</v>
      </c>
      <c r="J95" s="177" t="s">
        <v>3</v>
      </c>
      <c r="K95" s="177" t="s">
        <v>161</v>
      </c>
      <c r="L95" s="273">
        <v>1673.7</v>
      </c>
      <c r="M95" s="243">
        <v>0.09</v>
      </c>
      <c r="N95" s="178">
        <f>+Table1[[#This Row],[PO Amount]]*Table1[[#This Row],[Theorical Margen]]</f>
        <v>150.63300000000001</v>
      </c>
      <c r="O95" s="178">
        <f>+Table1[[#This Row],[PO Amount]]-Table1[[#This Row],[Quoted Rev]]</f>
        <v>1523.067</v>
      </c>
      <c r="P95" s="178">
        <v>0</v>
      </c>
      <c r="Q95" s="178" t="s">
        <v>51</v>
      </c>
      <c r="R95" s="178"/>
      <c r="S95" s="178"/>
      <c r="T95" s="178"/>
      <c r="U95" s="178">
        <f>(Table1[[#This Row],[Invoice Date]]-Table1[[#This Row],[Month]])/7</f>
        <v>0</v>
      </c>
      <c r="V95" s="178"/>
      <c r="W95" s="178">
        <f t="shared" si="9"/>
        <v>0</v>
      </c>
      <c r="X95" s="178"/>
      <c r="Y95" s="178"/>
      <c r="Z95" s="178"/>
      <c r="AA95" s="178"/>
      <c r="AB95" s="178"/>
      <c r="AC95" s="178"/>
      <c r="AD95" s="193"/>
      <c r="AE95" s="193"/>
      <c r="AF95" s="178"/>
      <c r="AG95" s="178" t="s">
        <v>52</v>
      </c>
      <c r="AH95" s="179">
        <v>1</v>
      </c>
      <c r="AI95" s="193">
        <v>1169</v>
      </c>
      <c r="AJ95" s="178" t="s">
        <v>93</v>
      </c>
      <c r="AK95" s="178">
        <f>+Table1[[#This Row],[PO Amount]]</f>
        <v>1673.7</v>
      </c>
      <c r="AL95" s="244">
        <v>45785</v>
      </c>
      <c r="AM95" s="215">
        <f>(Table1[[#This Row],[Invoice Date]]-Table1[[#This Row],[Month]])/7</f>
        <v>0</v>
      </c>
      <c r="AN95" s="229">
        <v>0</v>
      </c>
      <c r="AO95" s="263">
        <f t="shared" si="3"/>
        <v>45785</v>
      </c>
      <c r="AP95" s="178" t="s">
        <v>94</v>
      </c>
      <c r="AQ95" s="201" t="str">
        <f ca="1">IF(AND(AO95&lt;TODAY(),Table1[[#This Row],[Payment Status]]="Pending"),"Past Due", "OK")</f>
        <v>OK</v>
      </c>
      <c r="AR95" s="220"/>
    </row>
    <row r="96" spans="1:44">
      <c r="A96" s="173">
        <v>45825</v>
      </c>
      <c r="B96" s="174" t="s">
        <v>57</v>
      </c>
      <c r="C96" s="278" t="s">
        <v>252</v>
      </c>
      <c r="D96" s="174"/>
      <c r="E96" s="174"/>
      <c r="F96" s="174"/>
      <c r="G96" s="245" t="s">
        <v>253</v>
      </c>
      <c r="H96" s="177" t="s">
        <v>122</v>
      </c>
      <c r="I96" s="177" t="s">
        <v>200</v>
      </c>
      <c r="J96" s="177" t="s">
        <v>49</v>
      </c>
      <c r="K96" s="177" t="s">
        <v>50</v>
      </c>
      <c r="L96" s="273">
        <f>691502.65*0.5</f>
        <v>345751.32500000001</v>
      </c>
      <c r="M96" s="179">
        <v>0.25509999999999999</v>
      </c>
      <c r="N96" s="178">
        <f>+Table1[[#This Row],[Theorical Margen]]*Table1[[#This Row],[PO Amount]]</f>
        <v>88201.163007499999</v>
      </c>
      <c r="O96" s="178">
        <f>+Table1[[#This Row],[PO Amount]]-Table1[[#This Row],[Quoted Rev]]</f>
        <v>257550.16199250001</v>
      </c>
      <c r="P96" s="178">
        <v>0</v>
      </c>
      <c r="Q96" s="178" t="s">
        <v>51</v>
      </c>
      <c r="R96" s="178"/>
      <c r="S96" s="178"/>
      <c r="T96" s="178"/>
      <c r="U96" s="178">
        <f>(Table1[[#This Row],[Invoice Date]]-Table1[[#This Row],[Month]])/7</f>
        <v>0.2857142857142857</v>
      </c>
      <c r="V96" s="178"/>
      <c r="W96" s="178">
        <f t="shared" si="9"/>
        <v>0</v>
      </c>
      <c r="X96" s="178"/>
      <c r="Y96" s="178"/>
      <c r="Z96" s="178"/>
      <c r="AA96" s="178"/>
      <c r="AB96" s="178"/>
      <c r="AC96" s="178"/>
      <c r="AD96" s="193"/>
      <c r="AE96" s="193"/>
      <c r="AF96" s="178"/>
      <c r="AG96" s="178" t="s">
        <v>98</v>
      </c>
      <c r="AH96" s="179">
        <v>0.5</v>
      </c>
      <c r="AI96" s="193">
        <v>1190</v>
      </c>
      <c r="AJ96" s="178" t="s">
        <v>93</v>
      </c>
      <c r="AK96" s="178">
        <f>+Table1[[#This Row],[PO Amount]]</f>
        <v>345751.32500000001</v>
      </c>
      <c r="AL96" s="244">
        <v>45827</v>
      </c>
      <c r="AM96" s="215">
        <f>(Table1[[#This Row],[Invoice Date]]-Table1[[#This Row],[Month]])/7</f>
        <v>0.2857142857142857</v>
      </c>
      <c r="AN96" s="229">
        <v>0</v>
      </c>
      <c r="AO96" s="263">
        <f t="shared" si="3"/>
        <v>45827</v>
      </c>
      <c r="AP96" s="178" t="s">
        <v>94</v>
      </c>
      <c r="AQ96" s="201" t="str">
        <f ca="1">IF(AND(AO96&lt;TODAY(),Table1[[#This Row],[Payment Status]]="Pending"),"Past Due", "OK")</f>
        <v>OK</v>
      </c>
      <c r="AR96" s="220"/>
    </row>
    <row r="97" spans="1:44">
      <c r="A97" s="173">
        <v>45825</v>
      </c>
      <c r="B97" s="174" t="s">
        <v>57</v>
      </c>
      <c r="C97" s="278" t="s">
        <v>252</v>
      </c>
      <c r="D97" s="174"/>
      <c r="E97" s="174"/>
      <c r="F97" s="174"/>
      <c r="G97" s="245" t="s">
        <v>253</v>
      </c>
      <c r="H97" s="177" t="s">
        <v>122</v>
      </c>
      <c r="I97" s="177" t="s">
        <v>200</v>
      </c>
      <c r="J97" s="177" t="s">
        <v>49</v>
      </c>
      <c r="K97" s="177" t="s">
        <v>50</v>
      </c>
      <c r="L97" s="178">
        <f>691502.65*0.2</f>
        <v>138300.53</v>
      </c>
      <c r="M97" s="179">
        <v>0.25509999999999999</v>
      </c>
      <c r="N97" s="178">
        <f>+Table1[[#This Row],[Theorical Margen]]*Table1[[#This Row],[PO Amount]]</f>
        <v>35280.465203</v>
      </c>
      <c r="O97" s="178">
        <f>+Table1[[#This Row],[PO Amount]]-Table1[[#This Row],[Quoted Rev]]</f>
        <v>103020.064797</v>
      </c>
      <c r="P97" s="178">
        <v>0</v>
      </c>
      <c r="Q97" s="178" t="s">
        <v>51</v>
      </c>
      <c r="R97" s="178"/>
      <c r="S97" s="178"/>
      <c r="T97" s="178"/>
      <c r="U97" s="178">
        <f>(Table1[[#This Row],[Invoice Date]]-Table1[[#This Row],[Month]])/7</f>
        <v>25.428571428571427</v>
      </c>
      <c r="V97" s="178"/>
      <c r="W97" s="178">
        <f t="shared" si="9"/>
        <v>0</v>
      </c>
      <c r="X97" s="178"/>
      <c r="Y97" s="178"/>
      <c r="Z97" s="178"/>
      <c r="AA97" s="178"/>
      <c r="AB97" s="178"/>
      <c r="AC97" s="178"/>
      <c r="AD97" s="193"/>
      <c r="AE97" s="193"/>
      <c r="AF97" s="178"/>
      <c r="AG97" s="178" t="s">
        <v>86</v>
      </c>
      <c r="AH97" s="179">
        <v>0.2</v>
      </c>
      <c r="AI97" s="193"/>
      <c r="AJ97" s="178" t="s">
        <v>53</v>
      </c>
      <c r="AK97" s="178">
        <f>+Table1[[#This Row],[PO Amount]]</f>
        <v>138300.53</v>
      </c>
      <c r="AL97" s="244">
        <v>46003</v>
      </c>
      <c r="AM97" s="215">
        <f>(Table1[[#This Row],[Invoice Date]]-Table1[[#This Row],[Month]])/7</f>
        <v>25.428571428571427</v>
      </c>
      <c r="AN97" s="229">
        <v>30</v>
      </c>
      <c r="AO97" s="263">
        <f t="shared" si="3"/>
        <v>46033</v>
      </c>
      <c r="AP97" s="178" t="s">
        <v>53</v>
      </c>
      <c r="AQ97" s="201" t="str">
        <f ca="1">IF(AND(AO97&lt;TODAY(),Table1[[#This Row],[Payment Status]]="Pending"),"Past Due", "OK")</f>
        <v>OK</v>
      </c>
      <c r="AR97" s="220">
        <v>45968</v>
      </c>
    </row>
    <row r="98" spans="1:44">
      <c r="A98" s="173">
        <v>45825</v>
      </c>
      <c r="B98" s="174" t="s">
        <v>57</v>
      </c>
      <c r="C98" s="278" t="s">
        <v>252</v>
      </c>
      <c r="D98" s="174"/>
      <c r="E98" s="174"/>
      <c r="F98" s="174"/>
      <c r="G98" s="245" t="s">
        <v>253</v>
      </c>
      <c r="H98" s="177" t="s">
        <v>122</v>
      </c>
      <c r="I98" s="177" t="s">
        <v>200</v>
      </c>
      <c r="J98" s="177" t="s">
        <v>49</v>
      </c>
      <c r="K98" s="177" t="s">
        <v>50</v>
      </c>
      <c r="L98" s="178">
        <f>691502.65*0.2</f>
        <v>138300.53</v>
      </c>
      <c r="M98" s="179">
        <v>0.25509999999999999</v>
      </c>
      <c r="N98" s="178">
        <f>+Table1[[#This Row],[Theorical Margen]]*Table1[[#This Row],[PO Amount]]</f>
        <v>35280.465203</v>
      </c>
      <c r="O98" s="178">
        <f>+Table1[[#This Row],[PO Amount]]-Table1[[#This Row],[Quoted Rev]]</f>
        <v>103020.064797</v>
      </c>
      <c r="P98" s="178">
        <v>0</v>
      </c>
      <c r="Q98" s="178" t="s">
        <v>51</v>
      </c>
      <c r="R98" s="178"/>
      <c r="S98" s="178"/>
      <c r="T98" s="178"/>
      <c r="U98" s="178">
        <f>(Table1[[#This Row],[Invoice Date]]-Table1[[#This Row],[Month]])/7</f>
        <v>4.4285714285714288</v>
      </c>
      <c r="V98" s="178"/>
      <c r="W98" s="178">
        <f t="shared" si="9"/>
        <v>0</v>
      </c>
      <c r="X98" s="178"/>
      <c r="Y98" s="178"/>
      <c r="Z98" s="178"/>
      <c r="AA98" s="178"/>
      <c r="AB98" s="178"/>
      <c r="AC98" s="178"/>
      <c r="AD98" s="193"/>
      <c r="AE98" s="193"/>
      <c r="AF98" s="178"/>
      <c r="AG98" s="178" t="s">
        <v>187</v>
      </c>
      <c r="AH98" s="179">
        <v>0.2</v>
      </c>
      <c r="AI98" s="193">
        <v>1198</v>
      </c>
      <c r="AJ98" s="178" t="s">
        <v>93</v>
      </c>
      <c r="AK98" s="178">
        <f>+Table1[[#This Row],[PO Amount]]</f>
        <v>138300.53</v>
      </c>
      <c r="AL98" s="244">
        <v>45856</v>
      </c>
      <c r="AM98" s="215">
        <f>(Table1[[#This Row],[Invoice Date]]-Table1[[#This Row],[Month]])/7</f>
        <v>4.4285714285714288</v>
      </c>
      <c r="AN98" s="229">
        <v>30</v>
      </c>
      <c r="AO98" s="263">
        <f t="shared" ref="AO98:AO120" si="13">AL98+AN98</f>
        <v>45886</v>
      </c>
      <c r="AP98" s="178" t="s">
        <v>94</v>
      </c>
      <c r="AQ98" s="201" t="str">
        <f ca="1">IF(AND(AO98&lt;TODAY(),Table1[[#This Row],[Payment Status]]="Pending"),"Past Due", "OK")</f>
        <v>OK</v>
      </c>
      <c r="AR98" s="220"/>
    </row>
    <row r="99" spans="1:44">
      <c r="A99" s="173">
        <v>45825</v>
      </c>
      <c r="B99" s="174" t="s">
        <v>57</v>
      </c>
      <c r="C99" s="278" t="s">
        <v>252</v>
      </c>
      <c r="D99" s="174"/>
      <c r="E99" s="174"/>
      <c r="F99" s="174"/>
      <c r="G99" s="245" t="s">
        <v>253</v>
      </c>
      <c r="H99" s="177" t="s">
        <v>122</v>
      </c>
      <c r="I99" s="177" t="s">
        <v>200</v>
      </c>
      <c r="J99" s="177" t="s">
        <v>49</v>
      </c>
      <c r="K99" s="177" t="s">
        <v>50</v>
      </c>
      <c r="L99" s="178">
        <f>691502.65*0.1</f>
        <v>69150.264999999999</v>
      </c>
      <c r="M99" s="179">
        <v>0.25509999999999999</v>
      </c>
      <c r="N99" s="178">
        <f>+Table1[[#This Row],[Theorical Margen]]*Table1[[#This Row],[PO Amount]]</f>
        <v>17640.2326015</v>
      </c>
      <c r="O99" s="178">
        <f>+Table1[[#This Row],[PO Amount]]-Table1[[#This Row],[Quoted Rev]]</f>
        <v>51510.0323985</v>
      </c>
      <c r="P99" s="178">
        <v>0</v>
      </c>
      <c r="Q99" s="178" t="s">
        <v>51</v>
      </c>
      <c r="R99" s="178"/>
      <c r="S99" s="178"/>
      <c r="T99" s="178"/>
      <c r="U99" s="193">
        <f>(Table1[[#This Row],[Invoice Date]]-Table1[[#This Row],[Month]])/7</f>
        <v>23.428571428571427</v>
      </c>
      <c r="V99" s="178"/>
      <c r="W99" s="220">
        <f>T99+V99</f>
        <v>0</v>
      </c>
      <c r="X99" s="178"/>
      <c r="Y99" s="178"/>
      <c r="Z99" s="178"/>
      <c r="AA99" s="178"/>
      <c r="AB99" s="178"/>
      <c r="AC99" s="178"/>
      <c r="AD99" s="193"/>
      <c r="AE99" s="193"/>
      <c r="AF99" s="178"/>
      <c r="AG99" s="178" t="s">
        <v>62</v>
      </c>
      <c r="AH99" s="179">
        <v>0.1</v>
      </c>
      <c r="AI99" s="193"/>
      <c r="AJ99" s="178" t="s">
        <v>53</v>
      </c>
      <c r="AK99" s="178">
        <f>+Table1[[#This Row],[PO Amount]]</f>
        <v>69150.264999999999</v>
      </c>
      <c r="AL99" s="244">
        <v>45989</v>
      </c>
      <c r="AM99" s="215">
        <f>(Table1[[#This Row],[Invoice Date]]-Table1[[#This Row],[Month]])/7</f>
        <v>23.428571428571427</v>
      </c>
      <c r="AN99" s="229">
        <v>30</v>
      </c>
      <c r="AO99" s="263">
        <f t="shared" ref="AO99" si="14">AL99+AN99</f>
        <v>46019</v>
      </c>
      <c r="AP99" s="178" t="s">
        <v>53</v>
      </c>
      <c r="AQ99" s="201" t="str">
        <f ca="1">IF(AND(AO99&lt;TODAY(),Table1[[#This Row],[Payment Status]]="Pending"),"Past Due", "OK")</f>
        <v>OK</v>
      </c>
      <c r="AR99" s="220">
        <v>45957</v>
      </c>
    </row>
    <row r="100" spans="1:44">
      <c r="A100" s="173">
        <v>45845</v>
      </c>
      <c r="B100" s="174" t="s">
        <v>63</v>
      </c>
      <c r="C100" s="278" t="s">
        <v>64</v>
      </c>
      <c r="D100" s="174"/>
      <c r="E100" s="174"/>
      <c r="F100" s="174"/>
      <c r="G100" s="245" t="s">
        <v>254</v>
      </c>
      <c r="H100" s="177" t="s">
        <v>66</v>
      </c>
      <c r="I100" s="177" t="s">
        <v>67</v>
      </c>
      <c r="J100" s="177" t="s">
        <v>3</v>
      </c>
      <c r="K100" s="177" t="s">
        <v>68</v>
      </c>
      <c r="L100" s="178">
        <v>23353.08</v>
      </c>
      <c r="M100" s="179">
        <v>0.31</v>
      </c>
      <c r="N100" s="178">
        <v>7262.61</v>
      </c>
      <c r="O100" s="178">
        <f>+Table1[[#This Row],[PO Amount]]-Table1[[#This Row],[Quoted Rev]]</f>
        <v>16090.470000000001</v>
      </c>
      <c r="P100" s="178">
        <v>0</v>
      </c>
      <c r="Q100" s="178" t="s">
        <v>51</v>
      </c>
      <c r="R100" s="178"/>
      <c r="S100" s="178"/>
      <c r="T100" s="178"/>
      <c r="U100" s="178">
        <f>(Table1[[#This Row],[Invoice Date]]-Table1[[#This Row],[Month]])/7</f>
        <v>15</v>
      </c>
      <c r="V100" s="178"/>
      <c r="W100" s="178">
        <f t="shared" si="9"/>
        <v>0</v>
      </c>
      <c r="X100" s="178"/>
      <c r="Y100" s="178"/>
      <c r="Z100" s="178"/>
      <c r="AA100" s="178"/>
      <c r="AB100" s="178"/>
      <c r="AC100" s="178"/>
      <c r="AD100" s="193"/>
      <c r="AE100" s="193"/>
      <c r="AF100" s="178"/>
      <c r="AG100" s="178" t="s">
        <v>52</v>
      </c>
      <c r="AH100" s="179">
        <v>1</v>
      </c>
      <c r="AI100" s="193">
        <v>1229</v>
      </c>
      <c r="AJ100" s="178" t="s">
        <v>93</v>
      </c>
      <c r="AK100" s="178">
        <f>+Table1[[#This Row],[PO Amount]]</f>
        <v>23353.08</v>
      </c>
      <c r="AL100" s="244">
        <v>45950</v>
      </c>
      <c r="AM100" s="215">
        <f>(Table1[[#This Row],[Invoice Date]]-Table1[[#This Row],[Month]])/7</f>
        <v>15</v>
      </c>
      <c r="AN100" s="229">
        <v>60</v>
      </c>
      <c r="AO100" s="263">
        <f>AL100+AN100</f>
        <v>46010</v>
      </c>
      <c r="AP100" s="178" t="s">
        <v>53</v>
      </c>
      <c r="AQ100" s="201" t="str">
        <f ca="1">IF(AND(AO100&lt;TODAY(),Table1[[#This Row],[Payment Status]]="Pending"),"Past Due", "OK")</f>
        <v>OK</v>
      </c>
      <c r="AR100" s="220">
        <v>45968</v>
      </c>
    </row>
    <row r="101" spans="1:44">
      <c r="A101" s="173">
        <v>45845</v>
      </c>
      <c r="B101" s="174" t="s">
        <v>63</v>
      </c>
      <c r="C101" s="278" t="s">
        <v>64</v>
      </c>
      <c r="D101" s="174"/>
      <c r="E101" s="174"/>
      <c r="F101" s="174"/>
      <c r="G101" s="245" t="s">
        <v>65</v>
      </c>
      <c r="H101" s="177" t="s">
        <v>66</v>
      </c>
      <c r="I101" s="177" t="s">
        <v>67</v>
      </c>
      <c r="J101" s="177" t="s">
        <v>3</v>
      </c>
      <c r="K101" s="177" t="s">
        <v>68</v>
      </c>
      <c r="L101" s="178">
        <v>27541.93</v>
      </c>
      <c r="M101" s="179">
        <v>0.27</v>
      </c>
      <c r="N101" s="178">
        <v>7439.81</v>
      </c>
      <c r="O101" s="178">
        <f>+Table1[[#This Row],[PO Amount]]-Table1[[#This Row],[Quoted Rev]]</f>
        <v>20102.12</v>
      </c>
      <c r="P101" s="178">
        <v>0</v>
      </c>
      <c r="Q101" s="178" t="s">
        <v>51</v>
      </c>
      <c r="R101" s="178"/>
      <c r="S101" s="178"/>
      <c r="T101" s="178"/>
      <c r="U101" s="178">
        <f>(Table1[[#This Row],[Invoice Date]]-Table1[[#This Row],[Month]])/7</f>
        <v>9.8571428571428577</v>
      </c>
      <c r="V101" s="178"/>
      <c r="W101" s="178">
        <f t="shared" si="9"/>
        <v>0</v>
      </c>
      <c r="X101" s="178"/>
      <c r="Y101" s="178"/>
      <c r="Z101" s="178"/>
      <c r="AA101" s="178"/>
      <c r="AB101" s="178"/>
      <c r="AC101" s="178"/>
      <c r="AD101" s="193"/>
      <c r="AE101" s="193"/>
      <c r="AF101" s="178"/>
      <c r="AG101" s="178" t="s">
        <v>52</v>
      </c>
      <c r="AH101" s="179">
        <v>1</v>
      </c>
      <c r="AI101" s="193">
        <v>1212</v>
      </c>
      <c r="AJ101" s="178" t="s">
        <v>93</v>
      </c>
      <c r="AK101" s="178">
        <f>+Table1[[#This Row],[PO Amount]]</f>
        <v>27541.93</v>
      </c>
      <c r="AL101" s="244">
        <v>45914</v>
      </c>
      <c r="AM101" s="215">
        <f>(Table1[[#This Row],[Invoice Date]]-Table1[[#This Row],[Month]])/7</f>
        <v>9.8571428571428577</v>
      </c>
      <c r="AN101" s="229">
        <v>60</v>
      </c>
      <c r="AO101" s="263">
        <f t="shared" si="13"/>
        <v>45974</v>
      </c>
      <c r="AP101" s="178" t="s">
        <v>53</v>
      </c>
      <c r="AQ101" s="201" t="str">
        <f ca="1">IF(AND(AO101&lt;TODAY(),Table1[[#This Row],[Payment Status]]="Pending"),"Past Due", "OK")</f>
        <v>OK</v>
      </c>
      <c r="AR101" s="220">
        <v>45914</v>
      </c>
    </row>
    <row r="102" spans="1:44">
      <c r="A102" s="173">
        <v>45845</v>
      </c>
      <c r="B102" s="174" t="s">
        <v>63</v>
      </c>
      <c r="C102" s="278" t="s">
        <v>69</v>
      </c>
      <c r="D102" s="174"/>
      <c r="E102" s="174"/>
      <c r="F102" s="174"/>
      <c r="G102" s="245" t="s">
        <v>70</v>
      </c>
      <c r="H102" s="177" t="s">
        <v>66</v>
      </c>
      <c r="I102" s="177" t="s">
        <v>67</v>
      </c>
      <c r="J102" s="177" t="s">
        <v>3</v>
      </c>
      <c r="K102" s="177" t="s">
        <v>50</v>
      </c>
      <c r="L102" s="178">
        <v>24019.99</v>
      </c>
      <c r="M102" s="179">
        <v>0.31</v>
      </c>
      <c r="N102" s="178">
        <v>7360.53</v>
      </c>
      <c r="O102" s="178">
        <f>+Table1[[#This Row],[PO Amount]]-Table1[[#This Row],[Quoted Rev]]</f>
        <v>16659.460000000003</v>
      </c>
      <c r="P102" s="178">
        <v>0</v>
      </c>
      <c r="Q102" s="178" t="s">
        <v>51</v>
      </c>
      <c r="R102" s="178"/>
      <c r="S102" s="178"/>
      <c r="T102" s="178"/>
      <c r="U102" s="178">
        <f>(Table1[[#This Row],[Invoice Date]]-Table1[[#This Row],[Month]])/7</f>
        <v>10.285714285714286</v>
      </c>
      <c r="V102" s="178"/>
      <c r="W102" s="178">
        <f t="shared" si="9"/>
        <v>0</v>
      </c>
      <c r="X102" s="178"/>
      <c r="Y102" s="178"/>
      <c r="Z102" s="178"/>
      <c r="AA102" s="178"/>
      <c r="AB102" s="178"/>
      <c r="AC102" s="178"/>
      <c r="AD102" s="193"/>
      <c r="AE102" s="193"/>
      <c r="AF102" s="178"/>
      <c r="AG102" s="178" t="s">
        <v>52</v>
      </c>
      <c r="AH102" s="179">
        <v>1</v>
      </c>
      <c r="AI102" s="193">
        <v>1211</v>
      </c>
      <c r="AJ102" s="178" t="s">
        <v>93</v>
      </c>
      <c r="AK102" s="178">
        <f>+Table1[[#This Row],[PO Amount]]</f>
        <v>24019.99</v>
      </c>
      <c r="AL102" s="244">
        <v>45917</v>
      </c>
      <c r="AM102" s="215">
        <f>(Table1[[#This Row],[Invoice Date]]-Table1[[#This Row],[Month]])/7</f>
        <v>10.285714285714286</v>
      </c>
      <c r="AN102" s="229">
        <v>60</v>
      </c>
      <c r="AO102" s="263">
        <f t="shared" si="13"/>
        <v>45977</v>
      </c>
      <c r="AP102" s="178" t="s">
        <v>53</v>
      </c>
      <c r="AQ102" s="201" t="str">
        <f ca="1">IF(AND(AO102&lt;TODAY(),Table1[[#This Row],[Payment Status]]="Pending"),"Past Due", "OK")</f>
        <v>OK</v>
      </c>
      <c r="AR102" s="220">
        <v>45917</v>
      </c>
    </row>
    <row r="103" spans="1:44">
      <c r="A103" s="173">
        <v>45845</v>
      </c>
      <c r="B103" s="174" t="s">
        <v>63</v>
      </c>
      <c r="C103" s="278" t="s">
        <v>64</v>
      </c>
      <c r="D103" s="174"/>
      <c r="E103" s="174"/>
      <c r="F103" s="174"/>
      <c r="G103" s="245" t="s">
        <v>71</v>
      </c>
      <c r="H103" s="177" t="s">
        <v>66</v>
      </c>
      <c r="I103" s="177" t="s">
        <v>67</v>
      </c>
      <c r="J103" s="177" t="s">
        <v>3</v>
      </c>
      <c r="K103" s="177" t="s">
        <v>68</v>
      </c>
      <c r="L103" s="178">
        <v>18391.189999999999</v>
      </c>
      <c r="M103" s="179">
        <v>0.28999999999999998</v>
      </c>
      <c r="N103" s="178">
        <v>5317.14</v>
      </c>
      <c r="O103" s="178">
        <f>+Table1[[#This Row],[PO Amount]]-Table1[[#This Row],[Quoted Rev]]</f>
        <v>13074.05</v>
      </c>
      <c r="P103" s="178">
        <v>0</v>
      </c>
      <c r="Q103" s="178" t="s">
        <v>51</v>
      </c>
      <c r="R103" s="178"/>
      <c r="S103" s="178"/>
      <c r="T103" s="178"/>
      <c r="U103" s="178">
        <f>(Table1[[#This Row],[Invoice Date]]-Table1[[#This Row],[Month]])/7</f>
        <v>10.142857142857142</v>
      </c>
      <c r="V103" s="178"/>
      <c r="W103" s="178">
        <f t="shared" si="9"/>
        <v>0</v>
      </c>
      <c r="X103" s="178"/>
      <c r="Y103" s="178"/>
      <c r="Z103" s="178"/>
      <c r="AA103" s="178"/>
      <c r="AB103" s="178"/>
      <c r="AC103" s="178"/>
      <c r="AD103" s="193"/>
      <c r="AE103" s="193"/>
      <c r="AF103" s="178"/>
      <c r="AG103" s="178" t="s">
        <v>52</v>
      </c>
      <c r="AH103" s="179">
        <v>1</v>
      </c>
      <c r="AI103" s="193">
        <v>1209</v>
      </c>
      <c r="AJ103" s="178" t="s">
        <v>93</v>
      </c>
      <c r="AK103" s="178">
        <f>+Table1[[#This Row],[PO Amount]]</f>
        <v>18391.189999999999</v>
      </c>
      <c r="AL103" s="244">
        <v>45916</v>
      </c>
      <c r="AM103" s="215">
        <f>(Table1[[#This Row],[Invoice Date]]-Table1[[#This Row],[Month]])/7</f>
        <v>10.142857142857142</v>
      </c>
      <c r="AN103" s="229">
        <v>60</v>
      </c>
      <c r="AO103" s="263">
        <f t="shared" si="13"/>
        <v>45976</v>
      </c>
      <c r="AP103" s="178" t="s">
        <v>53</v>
      </c>
      <c r="AQ103" s="201" t="str">
        <f ca="1">IF(AND(AO103&lt;TODAY(),Table1[[#This Row],[Payment Status]]="Pending"),"Past Due", "OK")</f>
        <v>OK</v>
      </c>
      <c r="AR103" s="220">
        <v>45916</v>
      </c>
    </row>
    <row r="104" spans="1:44">
      <c r="A104" s="173">
        <v>45845</v>
      </c>
      <c r="B104" s="174" t="s">
        <v>63</v>
      </c>
      <c r="C104" s="278" t="s">
        <v>69</v>
      </c>
      <c r="D104" s="174"/>
      <c r="E104" s="174"/>
      <c r="F104" s="174"/>
      <c r="G104" s="245" t="s">
        <v>72</v>
      </c>
      <c r="H104" s="177" t="s">
        <v>66</v>
      </c>
      <c r="I104" s="177" t="s">
        <v>67</v>
      </c>
      <c r="J104" s="177" t="s">
        <v>3</v>
      </c>
      <c r="K104" s="177" t="s">
        <v>50</v>
      </c>
      <c r="L104" s="178">
        <v>31934.89</v>
      </c>
      <c r="M104" s="179">
        <v>0.3</v>
      </c>
      <c r="N104" s="178">
        <v>9461.42</v>
      </c>
      <c r="O104" s="178">
        <f>+Table1[[#This Row],[PO Amount]]-Table1[[#This Row],[Quoted Rev]]</f>
        <v>22473.47</v>
      </c>
      <c r="P104" s="178">
        <v>0</v>
      </c>
      <c r="Q104" s="178" t="s">
        <v>51</v>
      </c>
      <c r="R104" s="178"/>
      <c r="S104" s="178"/>
      <c r="T104" s="178"/>
      <c r="U104" s="178">
        <f>(Table1[[#This Row],[Invoice Date]]-Table1[[#This Row],[Month]])/7</f>
        <v>9.8571428571428577</v>
      </c>
      <c r="V104" s="178"/>
      <c r="W104" s="178">
        <f t="shared" si="9"/>
        <v>0</v>
      </c>
      <c r="X104" s="178"/>
      <c r="Y104" s="178"/>
      <c r="Z104" s="178"/>
      <c r="AA104" s="178"/>
      <c r="AB104" s="178"/>
      <c r="AC104" s="178"/>
      <c r="AD104" s="193"/>
      <c r="AE104" s="193"/>
      <c r="AF104" s="178"/>
      <c r="AG104" s="178" t="s">
        <v>52</v>
      </c>
      <c r="AH104" s="179">
        <v>1</v>
      </c>
      <c r="AI104" s="193">
        <v>1210</v>
      </c>
      <c r="AJ104" s="178" t="s">
        <v>93</v>
      </c>
      <c r="AK104" s="178">
        <f>+Table1[[#This Row],[PO Amount]]</f>
        <v>31934.89</v>
      </c>
      <c r="AL104" s="244">
        <v>45914</v>
      </c>
      <c r="AM104" s="215">
        <f>(Table1[[#This Row],[Invoice Date]]-Table1[[#This Row],[Month]])/7</f>
        <v>9.8571428571428577</v>
      </c>
      <c r="AN104" s="229">
        <v>60</v>
      </c>
      <c r="AO104" s="263">
        <f t="shared" si="13"/>
        <v>45974</v>
      </c>
      <c r="AP104" s="178" t="s">
        <v>53</v>
      </c>
      <c r="AQ104" s="201" t="str">
        <f ca="1">IF(AND(AO104&lt;TODAY(),Table1[[#This Row],[Payment Status]]="Pending"),"Past Due", "OK")</f>
        <v>OK</v>
      </c>
      <c r="AR104" s="220">
        <v>45914</v>
      </c>
    </row>
    <row r="105" spans="1:44">
      <c r="A105" s="173">
        <v>45859</v>
      </c>
      <c r="B105" s="174" t="s">
        <v>95</v>
      </c>
      <c r="C105" s="278" t="s">
        <v>255</v>
      </c>
      <c r="D105" s="174"/>
      <c r="E105" s="174"/>
      <c r="F105" s="174"/>
      <c r="G105" s="245" t="s">
        <v>256</v>
      </c>
      <c r="H105" s="177" t="s">
        <v>75</v>
      </c>
      <c r="I105" s="177" t="s">
        <v>76</v>
      </c>
      <c r="J105" s="177" t="s">
        <v>49</v>
      </c>
      <c r="K105" s="177" t="s">
        <v>161</v>
      </c>
      <c r="L105" s="178">
        <v>10920</v>
      </c>
      <c r="M105" s="179">
        <v>0.51</v>
      </c>
      <c r="N105" s="178">
        <f>+Table1[[#This Row],[PO Amount]]*Table1[[#This Row],[Theorical Margen]]</f>
        <v>5569.2</v>
      </c>
      <c r="O105" s="178">
        <f>+Table1[[#This Row],[PO Amount]]-Table1[[#This Row],[Quoted Rev]]</f>
        <v>5350.8</v>
      </c>
      <c r="P105" s="178">
        <v>0</v>
      </c>
      <c r="Q105" s="178" t="s">
        <v>51</v>
      </c>
      <c r="R105" s="178"/>
      <c r="S105" s="178"/>
      <c r="T105" s="178"/>
      <c r="U105" s="178">
        <f>(Table1[[#This Row],[Invoice Date]]-Table1[[#This Row],[Month]])/7</f>
        <v>1.4285714285714286</v>
      </c>
      <c r="V105" s="178"/>
      <c r="W105" s="178">
        <f t="shared" si="9"/>
        <v>0</v>
      </c>
      <c r="X105" s="178"/>
      <c r="Y105" s="178"/>
      <c r="Z105" s="178"/>
      <c r="AA105" s="178"/>
      <c r="AB105" s="178"/>
      <c r="AC105" s="178"/>
      <c r="AD105" s="193"/>
      <c r="AE105" s="193"/>
      <c r="AF105" s="178"/>
      <c r="AG105" s="178" t="s">
        <v>52</v>
      </c>
      <c r="AH105" s="179">
        <v>1</v>
      </c>
      <c r="AI105" s="193">
        <v>1200</v>
      </c>
      <c r="AJ105" s="178" t="s">
        <v>93</v>
      </c>
      <c r="AK105" s="178">
        <f>+Table1[[#This Row],[PO Amount]]</f>
        <v>10920</v>
      </c>
      <c r="AL105" s="244">
        <v>45869</v>
      </c>
      <c r="AM105" s="215">
        <f>(Table1[[#This Row],[Invoice Date]]-Table1[[#This Row],[Month]])/7</f>
        <v>1.4285714285714286</v>
      </c>
      <c r="AN105" s="229">
        <v>60</v>
      </c>
      <c r="AO105" s="263">
        <f t="shared" si="13"/>
        <v>45929</v>
      </c>
      <c r="AP105" s="178" t="s">
        <v>53</v>
      </c>
      <c r="AQ105" s="201" t="str">
        <f ca="1">IF(AND(AO105&lt;TODAY(),Table1[[#This Row],[Payment Status]]="Pending"),"Past Due", "OK")</f>
        <v>Past Due</v>
      </c>
      <c r="AR105" s="220"/>
    </row>
    <row r="106" spans="1:44">
      <c r="A106" s="173">
        <v>45869</v>
      </c>
      <c r="B106" s="174" t="s">
        <v>63</v>
      </c>
      <c r="C106" s="278" t="s">
        <v>257</v>
      </c>
      <c r="D106" s="174"/>
      <c r="E106" s="174"/>
      <c r="F106" s="174"/>
      <c r="G106" s="245" t="s">
        <v>258</v>
      </c>
      <c r="H106" s="177" t="s">
        <v>122</v>
      </c>
      <c r="I106" s="177" t="s">
        <v>200</v>
      </c>
      <c r="J106" s="177" t="s">
        <v>49</v>
      </c>
      <c r="K106" s="177" t="s">
        <v>50</v>
      </c>
      <c r="L106" s="178">
        <v>24721.7</v>
      </c>
      <c r="M106" s="179">
        <v>0.33</v>
      </c>
      <c r="N106" s="178">
        <f>+Table1[[#This Row],[PO Amount]]*Table1[[#This Row],[Theorical Margen]]</f>
        <v>8158.161000000001</v>
      </c>
      <c r="O106" s="178">
        <f>+Table1[[#This Row],[PO Amount]]-Table1[[#This Row],[Quoted Rev]]</f>
        <v>16563.539000000001</v>
      </c>
      <c r="P106" s="178">
        <v>0</v>
      </c>
      <c r="Q106" s="178" t="s">
        <v>51</v>
      </c>
      <c r="R106" s="178"/>
      <c r="S106" s="178"/>
      <c r="T106" s="178"/>
      <c r="U106" s="178">
        <f>(Table1[[#This Row],[Invoice Date]]-Table1[[#This Row],[Month]])/7</f>
        <v>10.571428571428571</v>
      </c>
      <c r="V106" s="178"/>
      <c r="W106" s="178">
        <f t="shared" si="9"/>
        <v>0</v>
      </c>
      <c r="X106" s="178"/>
      <c r="Y106" s="178"/>
      <c r="Z106" s="178"/>
      <c r="AA106" s="178"/>
      <c r="AB106" s="178"/>
      <c r="AC106" s="178"/>
      <c r="AD106" s="193"/>
      <c r="AE106" s="193"/>
      <c r="AF106" s="178"/>
      <c r="AG106" s="178" t="s">
        <v>52</v>
      </c>
      <c r="AH106" s="179">
        <v>1</v>
      </c>
      <c r="AI106" s="193">
        <v>1222</v>
      </c>
      <c r="AJ106" s="178" t="s">
        <v>150</v>
      </c>
      <c r="AK106" s="178">
        <f>+Table1[[#This Row],[PO Amount]]</f>
        <v>24721.7</v>
      </c>
      <c r="AL106" s="244">
        <v>45943</v>
      </c>
      <c r="AM106" s="215">
        <f>(Table1[[#This Row],[Invoice Date]]-Table1[[#This Row],[Month]])/7</f>
        <v>10.571428571428571</v>
      </c>
      <c r="AN106" s="229"/>
      <c r="AO106" s="263">
        <f t="shared" si="13"/>
        <v>45943</v>
      </c>
      <c r="AP106" s="178" t="s">
        <v>53</v>
      </c>
      <c r="AQ106" s="201" t="str">
        <f ca="1">IF(AND(AO106&lt;TODAY(),Table1[[#This Row],[Payment Status]]="Pending"),"Past Due", "OK")</f>
        <v>Past Due</v>
      </c>
      <c r="AR106" s="220">
        <v>45924</v>
      </c>
    </row>
    <row r="107" spans="1:44" ht="15.75">
      <c r="A107" s="173">
        <v>45828</v>
      </c>
      <c r="B107" s="174" t="s">
        <v>57</v>
      </c>
      <c r="C107" s="270" t="s">
        <v>259</v>
      </c>
      <c r="D107" s="174"/>
      <c r="E107" s="174"/>
      <c r="F107" s="174"/>
      <c r="G107" s="267" t="s">
        <v>260</v>
      </c>
      <c r="H107" s="177" t="s">
        <v>122</v>
      </c>
      <c r="I107" s="177" t="s">
        <v>200</v>
      </c>
      <c r="J107" s="177" t="s">
        <v>49</v>
      </c>
      <c r="K107" s="177" t="s">
        <v>50</v>
      </c>
      <c r="L107" s="178">
        <v>8525.84</v>
      </c>
      <c r="M107" s="179">
        <v>0.38600000000000001</v>
      </c>
      <c r="N107" s="178">
        <f>+Table1[[#This Row],[PO Amount]]*Table1[[#This Row],[Theorical Margen]]</f>
        <v>3290.97424</v>
      </c>
      <c r="O107" s="178">
        <f>+Table1[[#This Row],[PO Amount]]-Table1[[#This Row],[Quoted Rev]]</f>
        <v>5234.8657600000006</v>
      </c>
      <c r="P107" s="178"/>
      <c r="Q107" s="178" t="s">
        <v>51</v>
      </c>
      <c r="R107" s="178"/>
      <c r="S107" s="178"/>
      <c r="T107" s="178"/>
      <c r="U107" s="193">
        <f>(Table1[[#This Row],[Invoice Date]]-Table1[[#This Row],[Month]])/7</f>
        <v>15.428571428571429</v>
      </c>
      <c r="V107" s="178"/>
      <c r="W107" s="220">
        <f>T107+V107</f>
        <v>0</v>
      </c>
      <c r="X107" s="178"/>
      <c r="Y107" s="178"/>
      <c r="Z107" s="178"/>
      <c r="AA107" s="178"/>
      <c r="AB107" s="178"/>
      <c r="AC107" s="178"/>
      <c r="AD107" s="193"/>
      <c r="AE107" s="193"/>
      <c r="AF107" s="178"/>
      <c r="AG107" s="178" t="s">
        <v>52</v>
      </c>
      <c r="AH107" s="179">
        <v>1</v>
      </c>
      <c r="AI107" s="193">
        <v>1218</v>
      </c>
      <c r="AJ107" s="178" t="s">
        <v>150</v>
      </c>
      <c r="AK107" s="178">
        <f>+Table1[[#This Row],[PO Amount]]</f>
        <v>8525.84</v>
      </c>
      <c r="AL107" s="244">
        <v>45936</v>
      </c>
      <c r="AM107" s="215">
        <f>(Table1[[#This Row],[Invoice Date]]-Table1[[#This Row],[Month]])/7</f>
        <v>15.428571428571429</v>
      </c>
      <c r="AN107" s="229">
        <v>30</v>
      </c>
      <c r="AO107" s="244"/>
      <c r="AP107" s="178"/>
      <c r="AQ107" s="178"/>
      <c r="AR107" s="220"/>
    </row>
    <row r="108" spans="1:44" ht="38.25">
      <c r="A108" s="173">
        <v>45869</v>
      </c>
      <c r="B108" s="174" t="s">
        <v>57</v>
      </c>
      <c r="C108" s="278" t="s">
        <v>261</v>
      </c>
      <c r="D108" s="174"/>
      <c r="E108" s="174"/>
      <c r="F108" s="174"/>
      <c r="G108" s="245" t="s">
        <v>262</v>
      </c>
      <c r="H108" s="177" t="s">
        <v>122</v>
      </c>
      <c r="I108" s="177" t="s">
        <v>200</v>
      </c>
      <c r="J108" s="177" t="s">
        <v>49</v>
      </c>
      <c r="K108" s="177" t="s">
        <v>50</v>
      </c>
      <c r="L108" s="178">
        <v>18886.330000000002</v>
      </c>
      <c r="M108" s="179">
        <v>0.33779999999999999</v>
      </c>
      <c r="N108" s="178">
        <f>+Table1[[#This Row],[PO Amount]]*Table1[[#This Row],[Theorical Margen]]</f>
        <v>6379.8022740000006</v>
      </c>
      <c r="O108" s="178">
        <f>+Table1[[#This Row],[PO Amount]]-Table1[[#This Row],[Quoted Rev]]</f>
        <v>12506.527726</v>
      </c>
      <c r="P108" s="178">
        <v>0</v>
      </c>
      <c r="Q108" s="178" t="s">
        <v>51</v>
      </c>
      <c r="R108" s="178"/>
      <c r="S108" s="178"/>
      <c r="T108" s="178"/>
      <c r="U108" s="178">
        <f>(Table1[[#This Row],[Invoice Date]]-Table1[[#This Row],[Month]])/7</f>
        <v>2.5714285714285716</v>
      </c>
      <c r="V108" s="178"/>
      <c r="W108" s="178">
        <f t="shared" si="9"/>
        <v>0</v>
      </c>
      <c r="X108" s="178"/>
      <c r="Y108" s="178"/>
      <c r="Z108" s="178"/>
      <c r="AA108" s="178"/>
      <c r="AB108" s="178"/>
      <c r="AC108" s="178"/>
      <c r="AD108" s="193"/>
      <c r="AE108" s="193"/>
      <c r="AF108" s="178"/>
      <c r="AG108" s="178" t="s">
        <v>52</v>
      </c>
      <c r="AH108" s="179">
        <v>1</v>
      </c>
      <c r="AI108" s="193">
        <v>1203</v>
      </c>
      <c r="AJ108" s="178" t="s">
        <v>93</v>
      </c>
      <c r="AK108" s="178">
        <f>+Table1[[#This Row],[PO Amount]]</f>
        <v>18886.330000000002</v>
      </c>
      <c r="AL108" s="244">
        <v>45887</v>
      </c>
      <c r="AM108" s="215">
        <f>(Table1[[#This Row],[Invoice Date]]-Table1[[#This Row],[Month]])/7</f>
        <v>2.5714285714285716</v>
      </c>
      <c r="AN108" s="229">
        <v>30</v>
      </c>
      <c r="AO108" s="263">
        <f t="shared" si="13"/>
        <v>45917</v>
      </c>
      <c r="AP108" s="178" t="s">
        <v>53</v>
      </c>
      <c r="AQ108" s="201" t="str">
        <f ca="1">IF(AND(AO108&lt;TODAY(),Table1[[#This Row],[Payment Status]]="Pending"),"Past Due", "OK")</f>
        <v>Past Due</v>
      </c>
      <c r="AR108" s="220">
        <v>45887</v>
      </c>
    </row>
    <row r="109" spans="1:44" ht="25.5">
      <c r="A109" s="173">
        <v>45869</v>
      </c>
      <c r="B109" s="174" t="s">
        <v>57</v>
      </c>
      <c r="C109" s="278" t="s">
        <v>263</v>
      </c>
      <c r="D109" s="174"/>
      <c r="E109" s="174"/>
      <c r="F109" s="174"/>
      <c r="G109" s="245" t="s">
        <v>264</v>
      </c>
      <c r="H109" s="177" t="s">
        <v>122</v>
      </c>
      <c r="I109" s="177" t="s">
        <v>200</v>
      </c>
      <c r="J109" s="177" t="s">
        <v>49</v>
      </c>
      <c r="K109" s="177" t="s">
        <v>50</v>
      </c>
      <c r="L109" s="178">
        <v>23185</v>
      </c>
      <c r="M109" s="179">
        <v>0.33779999999999999</v>
      </c>
      <c r="N109" s="178">
        <f>+Table1[[#This Row],[PO Amount]]*Table1[[#This Row],[Theorical Margen]]</f>
        <v>7831.893</v>
      </c>
      <c r="O109" s="178">
        <f>+Table1[[#This Row],[PO Amount]]-Table1[[#This Row],[Quoted Rev]]</f>
        <v>15353.107</v>
      </c>
      <c r="P109" s="178">
        <v>0</v>
      </c>
      <c r="Q109" s="178" t="s">
        <v>51</v>
      </c>
      <c r="R109" s="178"/>
      <c r="S109" s="178"/>
      <c r="T109" s="178"/>
      <c r="U109" s="178">
        <f>(Table1[[#This Row],[Invoice Date]]-Table1[[#This Row],[Month]])/7</f>
        <v>8.7142857142857135</v>
      </c>
      <c r="V109" s="178"/>
      <c r="W109" s="178">
        <f t="shared" si="9"/>
        <v>0</v>
      </c>
      <c r="X109" s="178"/>
      <c r="Y109" s="178"/>
      <c r="Z109" s="178"/>
      <c r="AA109" s="178"/>
      <c r="AB109" s="178"/>
      <c r="AC109" s="178"/>
      <c r="AD109" s="193"/>
      <c r="AE109" s="193"/>
      <c r="AF109" s="178"/>
      <c r="AG109" s="178" t="s">
        <v>52</v>
      </c>
      <c r="AH109" s="179">
        <v>1</v>
      </c>
      <c r="AI109" s="193">
        <v>1216</v>
      </c>
      <c r="AJ109" s="178" t="s">
        <v>150</v>
      </c>
      <c r="AK109" s="178">
        <f>+Table1[[#This Row],[PO Amount]]</f>
        <v>23185</v>
      </c>
      <c r="AL109" s="244">
        <v>45930</v>
      </c>
      <c r="AM109" s="215">
        <f>(Table1[[#This Row],[Invoice Date]]-Table1[[#This Row],[Month]])/7</f>
        <v>8.7142857142857135</v>
      </c>
      <c r="AN109" s="229">
        <v>30</v>
      </c>
      <c r="AO109" s="263">
        <f t="shared" si="13"/>
        <v>45960</v>
      </c>
      <c r="AP109" s="178" t="s">
        <v>53</v>
      </c>
      <c r="AQ109" s="201" t="str">
        <f ca="1">IF(AND(AO109&lt;TODAY(),Table1[[#This Row],[Payment Status]]="Pending"),"Past Due", "OK")</f>
        <v>Past Due</v>
      </c>
      <c r="AR109" s="220">
        <v>45917</v>
      </c>
    </row>
    <row r="110" spans="1:44" ht="15.75">
      <c r="A110" s="173">
        <v>45869</v>
      </c>
      <c r="B110" s="174" t="s">
        <v>57</v>
      </c>
      <c r="C110" s="270" t="s">
        <v>265</v>
      </c>
      <c r="D110" s="174"/>
      <c r="E110" s="174"/>
      <c r="F110" s="174"/>
      <c r="G110" s="269" t="s">
        <v>266</v>
      </c>
      <c r="H110" s="268" t="s">
        <v>267</v>
      </c>
      <c r="I110" s="177" t="s">
        <v>200</v>
      </c>
      <c r="J110" s="177" t="s">
        <v>49</v>
      </c>
      <c r="K110" s="177" t="s">
        <v>50</v>
      </c>
      <c r="L110" s="178">
        <v>1951</v>
      </c>
      <c r="M110" s="179">
        <v>0.23080000000000001</v>
      </c>
      <c r="N110" s="178">
        <f>+Table1[[#This Row],[PO Amount]]*Table1[[#This Row],[Theorical Margen]]</f>
        <v>450.29079999999999</v>
      </c>
      <c r="O110" s="178">
        <f>+Table1[[#This Row],[PO Amount]]-Table1[[#This Row],[Quoted Rev]]</f>
        <v>1500.7092</v>
      </c>
      <c r="P110" s="178"/>
      <c r="Q110" s="178" t="s">
        <v>51</v>
      </c>
      <c r="R110" s="178"/>
      <c r="S110" s="178"/>
      <c r="T110" s="178"/>
      <c r="U110" s="193">
        <f>(Table1[[#This Row],[Invoice Date]]-Table1[[#This Row],[Month]])/7</f>
        <v>9.7142857142857135</v>
      </c>
      <c r="V110" s="178"/>
      <c r="W110" s="220">
        <f>T110+V110</f>
        <v>0</v>
      </c>
      <c r="X110" s="178"/>
      <c r="Y110" s="178"/>
      <c r="Z110" s="178"/>
      <c r="AA110" s="178"/>
      <c r="AB110" s="178"/>
      <c r="AC110" s="178"/>
      <c r="AD110" s="193"/>
      <c r="AE110" s="193"/>
      <c r="AF110" s="178"/>
      <c r="AG110" s="178" t="s">
        <v>52</v>
      </c>
      <c r="AH110" s="179">
        <v>2</v>
      </c>
      <c r="AI110" s="193">
        <v>1220</v>
      </c>
      <c r="AJ110" s="178" t="s">
        <v>150</v>
      </c>
      <c r="AK110" s="178">
        <f>+Table1[[#This Row],[PO Amount]]</f>
        <v>1951</v>
      </c>
      <c r="AL110" s="244">
        <v>45937</v>
      </c>
      <c r="AM110" s="215">
        <f>(Table1[[#This Row],[Invoice Date]]-Table1[[#This Row],[Month]])/7</f>
        <v>9.7142857142857135</v>
      </c>
      <c r="AN110" s="229">
        <v>30</v>
      </c>
      <c r="AO110" s="263">
        <f t="shared" si="13"/>
        <v>45967</v>
      </c>
      <c r="AP110" s="178" t="s">
        <v>53</v>
      </c>
      <c r="AQ110" s="178"/>
      <c r="AR110" s="220"/>
    </row>
    <row r="111" spans="1:44">
      <c r="A111" s="173">
        <v>45852</v>
      </c>
      <c r="B111" s="174" t="s">
        <v>63</v>
      </c>
      <c r="C111" s="278" t="s">
        <v>268</v>
      </c>
      <c r="D111" s="174"/>
      <c r="E111" s="174"/>
      <c r="F111" s="174"/>
      <c r="G111" s="245" t="s">
        <v>269</v>
      </c>
      <c r="H111" s="177" t="s">
        <v>270</v>
      </c>
      <c r="I111" s="177" t="s">
        <v>271</v>
      </c>
      <c r="J111" s="177" t="s">
        <v>3</v>
      </c>
      <c r="K111" s="177" t="s">
        <v>272</v>
      </c>
      <c r="L111" s="178">
        <v>26163.06</v>
      </c>
      <c r="M111" s="179">
        <f>+Table1[[#This Row],[Quoted Rev]]/Table1[[#This Row],[PO Amount]]</f>
        <v>0.31619198977489632</v>
      </c>
      <c r="N111" s="178">
        <v>8272.5499999999993</v>
      </c>
      <c r="O111" s="178">
        <f>+Table1[[#This Row],[PO Amount]]-Table1[[#This Row],[Quoted Rev]]</f>
        <v>17890.510000000002</v>
      </c>
      <c r="P111" s="178">
        <v>0</v>
      </c>
      <c r="Q111" s="178" t="s">
        <v>51</v>
      </c>
      <c r="R111" s="178"/>
      <c r="S111" s="178"/>
      <c r="T111" s="178"/>
      <c r="U111" s="178">
        <f>(Table1[[#This Row],[Invoice Date]]-Table1[[#This Row],[Month]])/7</f>
        <v>6</v>
      </c>
      <c r="V111" s="178"/>
      <c r="W111" s="178">
        <f t="shared" si="9"/>
        <v>0</v>
      </c>
      <c r="X111" s="178"/>
      <c r="Y111" s="178"/>
      <c r="Z111" s="178"/>
      <c r="AA111" s="178"/>
      <c r="AB111" s="178"/>
      <c r="AC111" s="178"/>
      <c r="AD111" s="193"/>
      <c r="AE111" s="193"/>
      <c r="AF111" s="178"/>
      <c r="AG111" s="178" t="s">
        <v>52</v>
      </c>
      <c r="AH111" s="179">
        <v>1</v>
      </c>
      <c r="AI111" s="193">
        <v>1204</v>
      </c>
      <c r="AJ111" s="178" t="s">
        <v>93</v>
      </c>
      <c r="AK111" s="178">
        <f>+Table1[[#This Row],[PO Amount]]</f>
        <v>26163.06</v>
      </c>
      <c r="AL111" s="244">
        <v>45894</v>
      </c>
      <c r="AM111" s="215">
        <f>(Table1[[#This Row],[Invoice Date]]-Table1[[#This Row],[Month]])/7</f>
        <v>6</v>
      </c>
      <c r="AN111" s="229">
        <v>30</v>
      </c>
      <c r="AO111" s="263">
        <f t="shared" si="13"/>
        <v>45924</v>
      </c>
      <c r="AP111" s="178" t="s">
        <v>53</v>
      </c>
      <c r="AQ111" s="201" t="str">
        <f ca="1">IF(AND(AO111&lt;TODAY(),Table1[[#This Row],[Payment Status]]="Pending"),"Past Due", "OK")</f>
        <v>Past Due</v>
      </c>
      <c r="AR111" s="220">
        <v>45894</v>
      </c>
    </row>
    <row r="112" spans="1:44" ht="25.5">
      <c r="A112" s="173">
        <v>45834</v>
      </c>
      <c r="B112" s="174" t="s">
        <v>95</v>
      </c>
      <c r="C112" s="278" t="s">
        <v>273</v>
      </c>
      <c r="D112" s="174"/>
      <c r="E112" s="174"/>
      <c r="F112" s="174"/>
      <c r="G112" s="245" t="s">
        <v>274</v>
      </c>
      <c r="H112" s="177" t="s">
        <v>75</v>
      </c>
      <c r="I112" s="177" t="s">
        <v>76</v>
      </c>
      <c r="J112" s="177" t="s">
        <v>49</v>
      </c>
      <c r="K112" s="177" t="s">
        <v>161</v>
      </c>
      <c r="L112" s="178">
        <v>5600</v>
      </c>
      <c r="M112" s="179">
        <v>0.69510000000000005</v>
      </c>
      <c r="N112" s="178">
        <f>+Table1[[#This Row],[PO Amount]]*Table1[[#This Row],[Theorical Margen]]</f>
        <v>3892.5600000000004</v>
      </c>
      <c r="O112" s="178">
        <f>+Table1[[#This Row],[PO Amount]]-Table1[[#This Row],[Quoted Rev]]</f>
        <v>1707.4399999999996</v>
      </c>
      <c r="P112" s="178">
        <v>0</v>
      </c>
      <c r="Q112" s="178" t="s">
        <v>51</v>
      </c>
      <c r="R112" s="178"/>
      <c r="S112" s="178"/>
      <c r="T112" s="178"/>
      <c r="U112" s="178">
        <f>(Table1[[#This Row],[Invoice Date]]-Table1[[#This Row],[Month]])/7</f>
        <v>4</v>
      </c>
      <c r="V112" s="178"/>
      <c r="W112" s="178">
        <f t="shared" si="9"/>
        <v>0</v>
      </c>
      <c r="X112" s="178"/>
      <c r="Y112" s="178"/>
      <c r="Z112" s="178"/>
      <c r="AA112" s="178"/>
      <c r="AB112" s="178"/>
      <c r="AC112" s="178"/>
      <c r="AD112" s="193"/>
      <c r="AE112" s="193"/>
      <c r="AF112" s="178"/>
      <c r="AG112" s="178" t="s">
        <v>52</v>
      </c>
      <c r="AH112" s="179">
        <v>1</v>
      </c>
      <c r="AI112" s="193">
        <v>1199</v>
      </c>
      <c r="AJ112" s="178" t="s">
        <v>93</v>
      </c>
      <c r="AK112" s="178">
        <f>+Table1[[#This Row],[PO Amount]]</f>
        <v>5600</v>
      </c>
      <c r="AL112" s="244">
        <v>45862</v>
      </c>
      <c r="AM112" s="215">
        <f>(Table1[[#This Row],[Invoice Date]]-Table1[[#This Row],[Month]])/7</f>
        <v>4</v>
      </c>
      <c r="AN112" s="229">
        <v>60</v>
      </c>
      <c r="AO112" s="263">
        <f t="shared" si="13"/>
        <v>45922</v>
      </c>
      <c r="AP112" s="178" t="s">
        <v>53</v>
      </c>
      <c r="AQ112" s="201" t="str">
        <f ca="1">IF(AND(AO112&lt;TODAY(),Table1[[#This Row],[Payment Status]]="Pending"),"Past Due", "OK")</f>
        <v>Past Due</v>
      </c>
      <c r="AR112" s="178"/>
    </row>
    <row r="113" spans="1:44" ht="18.75" customHeight="1">
      <c r="A113" s="173">
        <v>45883</v>
      </c>
      <c r="B113" s="174" t="s">
        <v>57</v>
      </c>
      <c r="C113" s="278" t="s">
        <v>275</v>
      </c>
      <c r="D113" s="174"/>
      <c r="E113" s="174"/>
      <c r="F113" s="174"/>
      <c r="G113" s="245" t="s">
        <v>276</v>
      </c>
      <c r="H113" s="177" t="s">
        <v>137</v>
      </c>
      <c r="I113" s="177" t="s">
        <v>138</v>
      </c>
      <c r="J113" s="177" t="s">
        <v>3</v>
      </c>
      <c r="K113" s="177" t="s">
        <v>50</v>
      </c>
      <c r="L113" s="178">
        <v>3400</v>
      </c>
      <c r="M113" s="242">
        <v>0.35</v>
      </c>
      <c r="N113" s="178">
        <f>+Table1[[#This Row],[PO Amount]]*Table1[[#This Row],[Theorical Margen]]</f>
        <v>1190</v>
      </c>
      <c r="O113" s="178">
        <f>+Table1[[#This Row],[PO Amount]]-Table1[[#This Row],[Quoted Rev]]</f>
        <v>2210</v>
      </c>
      <c r="P113" s="178"/>
      <c r="Q113" s="178" t="s">
        <v>51</v>
      </c>
      <c r="R113" s="178"/>
      <c r="S113" s="178"/>
      <c r="T113" s="178"/>
      <c r="U113" s="178">
        <f>(Table1[[#This Row],[Invoice Date]]-Table1[[#This Row],[Month]])/7</f>
        <v>1.1428571428571428</v>
      </c>
      <c r="V113" s="178"/>
      <c r="W113" s="178">
        <f t="shared" si="9"/>
        <v>0</v>
      </c>
      <c r="X113" s="178"/>
      <c r="Y113" s="178"/>
      <c r="Z113" s="178"/>
      <c r="AA113" s="178"/>
      <c r="AB113" s="178"/>
      <c r="AC113" s="178"/>
      <c r="AD113" s="193"/>
      <c r="AE113" s="193"/>
      <c r="AF113" s="178"/>
      <c r="AG113" s="178" t="s">
        <v>52</v>
      </c>
      <c r="AH113" s="179">
        <v>1</v>
      </c>
      <c r="AI113" s="193">
        <v>1205</v>
      </c>
      <c r="AJ113" s="178" t="s">
        <v>93</v>
      </c>
      <c r="AK113" s="178">
        <f>+Table1[[#This Row],[PO Amount]]</f>
        <v>3400</v>
      </c>
      <c r="AL113" s="244">
        <v>45891</v>
      </c>
      <c r="AM113" s="215">
        <f>(Table1[[#This Row],[Invoice Date]]-Table1[[#This Row],[Month]])/7</f>
        <v>1.1428571428571428</v>
      </c>
      <c r="AN113" s="229">
        <v>30</v>
      </c>
      <c r="AO113" s="263">
        <f t="shared" si="13"/>
        <v>45921</v>
      </c>
      <c r="AP113" s="178" t="s">
        <v>53</v>
      </c>
      <c r="AQ113" s="201" t="str">
        <f ca="1">IF(AND(AO113&lt;TODAY(),Table1[[#This Row],[Payment Status]]="Pending"),"Past Due", "OK")</f>
        <v>Past Due</v>
      </c>
      <c r="AR113" s="178"/>
    </row>
    <row r="114" spans="1:44" ht="18.75" customHeight="1">
      <c r="A114" s="173">
        <v>45898</v>
      </c>
      <c r="B114" s="174" t="s">
        <v>95</v>
      </c>
      <c r="C114" s="270">
        <v>529426</v>
      </c>
      <c r="D114" s="174"/>
      <c r="E114" s="174"/>
      <c r="F114" s="174"/>
      <c r="G114" s="269" t="s">
        <v>277</v>
      </c>
      <c r="H114" s="177" t="s">
        <v>108</v>
      </c>
      <c r="I114" s="177" t="s">
        <v>278</v>
      </c>
      <c r="J114" s="177" t="s">
        <v>49</v>
      </c>
      <c r="K114" s="177" t="s">
        <v>50</v>
      </c>
      <c r="L114" s="178">
        <v>44784.3</v>
      </c>
      <c r="M114" s="242">
        <v>0.30149999999999999</v>
      </c>
      <c r="N114" s="178">
        <f>+Table1[[#This Row],[PO Amount]]*Table1[[#This Row],[Theorical Margen]]</f>
        <v>13502.46645</v>
      </c>
      <c r="O114" s="178">
        <f>+Table1[[#This Row],[PO Amount]]-Table1[[#This Row],[Quoted Rev]]</f>
        <v>31281.833550000003</v>
      </c>
      <c r="P114" s="178"/>
      <c r="Q114" s="178" t="s">
        <v>51</v>
      </c>
      <c r="R114" s="178"/>
      <c r="S114" s="178"/>
      <c r="T114" s="178"/>
      <c r="U114" s="193">
        <f>(Table1[[#This Row],[Invoice Date]]-Table1[[#This Row],[Month]])/7</f>
        <v>14</v>
      </c>
      <c r="V114" s="178"/>
      <c r="W114" s="220">
        <f>T114+V114</f>
        <v>0</v>
      </c>
      <c r="X114" s="178"/>
      <c r="Y114" s="178"/>
      <c r="Z114" s="178"/>
      <c r="AA114" s="178"/>
      <c r="AB114" s="178"/>
      <c r="AC114" s="178"/>
      <c r="AD114" s="193"/>
      <c r="AE114" s="193"/>
      <c r="AF114" s="178"/>
      <c r="AG114" s="178" t="s">
        <v>52</v>
      </c>
      <c r="AH114" s="179">
        <v>1</v>
      </c>
      <c r="AI114" s="193"/>
      <c r="AJ114" s="178" t="s">
        <v>53</v>
      </c>
      <c r="AK114" s="178">
        <f>+Table1[[#This Row],[PO Amount]]</f>
        <v>44784.3</v>
      </c>
      <c r="AL114" s="244">
        <v>45996</v>
      </c>
      <c r="AM114" s="215">
        <f>(Table1[[#This Row],[Invoice Date]]-Table1[[#This Row],[Month]])/7</f>
        <v>14</v>
      </c>
      <c r="AN114" s="229">
        <v>30</v>
      </c>
      <c r="AO114" s="263">
        <f t="shared" si="13"/>
        <v>46026</v>
      </c>
      <c r="AP114" s="178" t="s">
        <v>53</v>
      </c>
      <c r="AQ114" s="178"/>
      <c r="AR114" s="178"/>
    </row>
    <row r="115" spans="1:44" ht="18.75" customHeight="1">
      <c r="A115" s="173">
        <v>45904</v>
      </c>
      <c r="B115" s="174" t="s">
        <v>95</v>
      </c>
      <c r="C115" s="270">
        <v>4510706571</v>
      </c>
      <c r="D115" s="174"/>
      <c r="E115" s="174"/>
      <c r="F115" s="174"/>
      <c r="G115" s="269" t="s">
        <v>279</v>
      </c>
      <c r="H115" s="177" t="s">
        <v>75</v>
      </c>
      <c r="I115" s="177" t="s">
        <v>76</v>
      </c>
      <c r="J115" s="177" t="s">
        <v>49</v>
      </c>
      <c r="K115" s="177" t="s">
        <v>77</v>
      </c>
      <c r="L115" s="178">
        <v>206.18</v>
      </c>
      <c r="M115" s="179">
        <v>0.28570000000000001</v>
      </c>
      <c r="N115" s="178">
        <f>+Table1[[#This Row],[PO Amount]]*Table1[[#This Row],[Theorical Margen]]</f>
        <v>58.905626000000005</v>
      </c>
      <c r="O115" s="178">
        <f>+Table1[[#This Row],[PO Amount]]-Table1[[#This Row],[Quoted Rev]]</f>
        <v>147.27437399999999</v>
      </c>
      <c r="P115" s="178">
        <v>0</v>
      </c>
      <c r="Q115" s="178" t="s">
        <v>51</v>
      </c>
      <c r="R115" s="178"/>
      <c r="S115" s="178"/>
      <c r="T115" s="178"/>
      <c r="U115" s="193">
        <f>(Table1[[#This Row],[Invoice Date]]-Table1[[#This Row],[Month]])/7</f>
        <v>9</v>
      </c>
      <c r="V115" s="178"/>
      <c r="W115" s="220">
        <f>T115+V115</f>
        <v>0</v>
      </c>
      <c r="X115" s="178"/>
      <c r="Y115" s="178"/>
      <c r="Z115" s="178"/>
      <c r="AA115" s="178"/>
      <c r="AB115" s="178"/>
      <c r="AC115" s="178"/>
      <c r="AD115" s="193"/>
      <c r="AE115" s="193"/>
      <c r="AF115" s="178"/>
      <c r="AG115" s="178" t="s">
        <v>52</v>
      </c>
      <c r="AH115" s="179">
        <v>1</v>
      </c>
      <c r="AI115" s="193"/>
      <c r="AJ115" s="178" t="s">
        <v>53</v>
      </c>
      <c r="AK115" s="178">
        <f>+Table1[[#This Row],[PO Amount]]</f>
        <v>206.18</v>
      </c>
      <c r="AL115" s="244">
        <v>45967</v>
      </c>
      <c r="AM115" s="215">
        <f>(Table1[[#This Row],[Invoice Date]]-Table1[[#This Row],[Month]])/7</f>
        <v>9</v>
      </c>
      <c r="AN115" s="229">
        <v>60</v>
      </c>
      <c r="AO115" s="263">
        <f t="shared" si="13"/>
        <v>46027</v>
      </c>
      <c r="AP115" s="178" t="s">
        <v>53</v>
      </c>
      <c r="AQ115" s="178"/>
      <c r="AR115" s="178"/>
    </row>
    <row r="116" spans="1:44">
      <c r="A116" s="173">
        <v>45904</v>
      </c>
      <c r="B116" s="174" t="s">
        <v>95</v>
      </c>
      <c r="C116" s="278" t="s">
        <v>73</v>
      </c>
      <c r="D116" s="174"/>
      <c r="E116" s="174"/>
      <c r="F116" s="174"/>
      <c r="G116" s="245" t="s">
        <v>280</v>
      </c>
      <c r="H116" s="177" t="s">
        <v>75</v>
      </c>
      <c r="I116" s="177" t="s">
        <v>76</v>
      </c>
      <c r="J116" s="177" t="s">
        <v>3</v>
      </c>
      <c r="K116" s="177" t="s">
        <v>77</v>
      </c>
      <c r="L116" s="178">
        <v>3099.7</v>
      </c>
      <c r="M116" s="179">
        <v>0.30969999999999998</v>
      </c>
      <c r="N116" s="178">
        <f>+Table1[[#This Row],[PO Amount]]*Table1[[#This Row],[Theorical Margen]]</f>
        <v>959.97708999999986</v>
      </c>
      <c r="O116" s="178">
        <f>+Table1[[#This Row],[PO Amount]]-Table1[[#This Row],[Quoted Rev]]</f>
        <v>2139.72291</v>
      </c>
      <c r="P116" s="178">
        <v>0</v>
      </c>
      <c r="Q116" s="178" t="s">
        <v>51</v>
      </c>
      <c r="R116" s="178"/>
      <c r="S116" s="178"/>
      <c r="T116" s="178"/>
      <c r="U116" s="178">
        <f>(Table1[[#This Row],[Invoice Date]]-Table1[[#This Row],[Month]])/7</f>
        <v>9</v>
      </c>
      <c r="V116" s="178"/>
      <c r="W116" s="178">
        <f t="shared" ref="W116:W145" si="15">T116+V116</f>
        <v>0</v>
      </c>
      <c r="X116" s="178"/>
      <c r="Y116" s="178"/>
      <c r="Z116" s="178"/>
      <c r="AA116" s="178"/>
      <c r="AB116" s="178"/>
      <c r="AC116" s="178"/>
      <c r="AD116" s="193"/>
      <c r="AE116" s="193"/>
      <c r="AF116" s="178"/>
      <c r="AG116" s="178" t="s">
        <v>52</v>
      </c>
      <c r="AH116" s="179">
        <v>1</v>
      </c>
      <c r="AI116" s="193"/>
      <c r="AJ116" s="178" t="s">
        <v>53</v>
      </c>
      <c r="AK116" s="178">
        <f>+Table1[[#This Row],[PO Amount]]</f>
        <v>3099.7</v>
      </c>
      <c r="AL116" s="244">
        <v>45967</v>
      </c>
      <c r="AM116" s="215">
        <f>(Table1[[#This Row],[Invoice Date]]-Table1[[#This Row],[Month]])/7</f>
        <v>9</v>
      </c>
      <c r="AN116" s="229">
        <v>60</v>
      </c>
      <c r="AO116" s="263">
        <f t="shared" si="13"/>
        <v>46027</v>
      </c>
      <c r="AP116" s="178" t="s">
        <v>53</v>
      </c>
      <c r="AQ116" s="178"/>
      <c r="AR116" s="178"/>
    </row>
    <row r="117" spans="1:44" ht="16.5" customHeight="1">
      <c r="A117" s="173">
        <v>45832</v>
      </c>
      <c r="B117" s="174" t="s">
        <v>63</v>
      </c>
      <c r="C117" s="270">
        <v>4500056612</v>
      </c>
      <c r="D117" s="174"/>
      <c r="E117" s="174"/>
      <c r="F117" s="174"/>
      <c r="G117" s="269" t="s">
        <v>281</v>
      </c>
      <c r="H117" s="177" t="s">
        <v>112</v>
      </c>
      <c r="I117" s="177" t="s">
        <v>282</v>
      </c>
      <c r="J117" s="177" t="s">
        <v>49</v>
      </c>
      <c r="K117" s="177" t="s">
        <v>50</v>
      </c>
      <c r="L117" s="178">
        <v>28661</v>
      </c>
      <c r="M117" s="179">
        <v>0.2737</v>
      </c>
      <c r="N117" s="178">
        <f>+Table1[[#This Row],[PO Amount]]*Table1[[#This Row],[Theorical Margen]]</f>
        <v>7844.5156999999999</v>
      </c>
      <c r="O117" s="178">
        <f>+Table1[[#This Row],[PO Amount]]-Table1[[#This Row],[Quoted Rev]]</f>
        <v>20816.4843</v>
      </c>
      <c r="P117" s="178"/>
      <c r="Q117" s="178" t="s">
        <v>51</v>
      </c>
      <c r="R117" s="178"/>
      <c r="S117" s="178"/>
      <c r="T117" s="178"/>
      <c r="U117" s="178">
        <f>(Table1[[#This Row],[Invoice Date]]-Table1[[#This Row],[Month]])/7</f>
        <v>16.857142857142858</v>
      </c>
      <c r="V117" s="178"/>
      <c r="W117" s="178">
        <f t="shared" si="15"/>
        <v>0</v>
      </c>
      <c r="X117" s="178"/>
      <c r="Y117" s="178"/>
      <c r="Z117" s="178"/>
      <c r="AA117" s="178"/>
      <c r="AB117" s="178"/>
      <c r="AC117" s="178"/>
      <c r="AD117" s="193"/>
      <c r="AE117" s="193"/>
      <c r="AF117" s="178"/>
      <c r="AG117" s="178" t="s">
        <v>52</v>
      </c>
      <c r="AH117" s="179">
        <v>1</v>
      </c>
      <c r="AI117" s="193">
        <v>1227</v>
      </c>
      <c r="AJ117" s="178" t="s">
        <v>93</v>
      </c>
      <c r="AK117" s="178">
        <f>+Table1[[#This Row],[PO Amount]]</f>
        <v>28661</v>
      </c>
      <c r="AL117" s="244">
        <v>45950</v>
      </c>
      <c r="AM117" s="215">
        <f>(Table1[[#This Row],[Invoice Date]]-Table1[[#This Row],[Month]])/7</f>
        <v>16.857142857142858</v>
      </c>
      <c r="AN117" s="229">
        <v>30</v>
      </c>
      <c r="AO117" s="263">
        <f t="shared" si="13"/>
        <v>45980</v>
      </c>
      <c r="AP117" s="178" t="s">
        <v>53</v>
      </c>
      <c r="AQ117" s="178"/>
      <c r="AR117" s="178"/>
    </row>
    <row r="118" spans="1:44" ht="16.5" customHeight="1">
      <c r="A118" s="173">
        <v>45923</v>
      </c>
      <c r="B118" s="174" t="s">
        <v>63</v>
      </c>
      <c r="C118" s="271">
        <v>4500059776</v>
      </c>
      <c r="D118" s="174"/>
      <c r="E118" s="174"/>
      <c r="F118" s="174"/>
      <c r="G118" s="272" t="s">
        <v>283</v>
      </c>
      <c r="H118" s="177" t="s">
        <v>112</v>
      </c>
      <c r="I118" s="268" t="s">
        <v>282</v>
      </c>
      <c r="J118" s="177" t="s">
        <v>49</v>
      </c>
      <c r="K118" s="177" t="s">
        <v>50</v>
      </c>
      <c r="L118" s="178">
        <v>32932.81</v>
      </c>
      <c r="M118" s="242">
        <v>0.255</v>
      </c>
      <c r="N118" s="178">
        <f>+Table1[[#This Row],[PO Amount]]*Table1[[#This Row],[Theorical Margen]]</f>
        <v>8397.8665499999988</v>
      </c>
      <c r="O118" s="178">
        <f>+Table1[[#This Row],[PO Amount]]-Table1[[#This Row],[Quoted Rev]]</f>
        <v>24534.943449999999</v>
      </c>
      <c r="P118" s="178"/>
      <c r="Q118" s="178" t="s">
        <v>51</v>
      </c>
      <c r="R118" s="178"/>
      <c r="S118" s="178"/>
      <c r="T118" s="178"/>
      <c r="U118" s="178">
        <f>(Table1[[#This Row],[Invoice Date]]-Table1[[#This Row],[Month]])/7</f>
        <v>5.2857142857142856</v>
      </c>
      <c r="V118" s="178"/>
      <c r="W118" s="178">
        <f t="shared" si="15"/>
        <v>0</v>
      </c>
      <c r="X118" s="178"/>
      <c r="Y118" s="178"/>
      <c r="Z118" s="178"/>
      <c r="AA118" s="178"/>
      <c r="AB118" s="178"/>
      <c r="AC118" s="178"/>
      <c r="AD118" s="193"/>
      <c r="AE118" s="193"/>
      <c r="AF118" s="178"/>
      <c r="AG118" s="178" t="s">
        <v>52</v>
      </c>
      <c r="AH118" s="179">
        <v>1</v>
      </c>
      <c r="AI118" s="193"/>
      <c r="AJ118" s="178" t="s">
        <v>53</v>
      </c>
      <c r="AK118" s="178">
        <f>+Table1[[#This Row],[PO Amount]]</f>
        <v>32932.81</v>
      </c>
      <c r="AL118" s="244">
        <v>45960</v>
      </c>
      <c r="AM118" s="215">
        <f>(Table1[[#This Row],[Invoice Date]]-Table1[[#This Row],[Month]])/7</f>
        <v>5.2857142857142856</v>
      </c>
      <c r="AN118" s="229">
        <v>30</v>
      </c>
      <c r="AO118" s="263">
        <f t="shared" si="13"/>
        <v>45990</v>
      </c>
      <c r="AP118" s="178" t="s">
        <v>53</v>
      </c>
      <c r="AQ118" s="178"/>
      <c r="AR118" s="178"/>
    </row>
    <row r="119" spans="1:44" ht="16.5" customHeight="1">
      <c r="A119" s="173">
        <v>45923</v>
      </c>
      <c r="B119" s="174" t="s">
        <v>63</v>
      </c>
      <c r="C119" s="271">
        <v>4500059777</v>
      </c>
      <c r="D119" s="174"/>
      <c r="E119" s="174"/>
      <c r="F119" s="174"/>
      <c r="G119" s="272" t="s">
        <v>284</v>
      </c>
      <c r="H119" s="177" t="s">
        <v>112</v>
      </c>
      <c r="I119" s="268" t="s">
        <v>282</v>
      </c>
      <c r="J119" s="177" t="s">
        <v>49</v>
      </c>
      <c r="K119" s="177" t="s">
        <v>285</v>
      </c>
      <c r="L119" s="178">
        <v>43995.09</v>
      </c>
      <c r="M119" s="242">
        <v>0.24660000000000001</v>
      </c>
      <c r="N119" s="178">
        <f>+Table1[[#This Row],[PO Amount]]*Table1[[#This Row],[Theorical Margen]]</f>
        <v>10849.189194</v>
      </c>
      <c r="O119" s="178">
        <f>+Table1[[#This Row],[PO Amount]]-Table1[[#This Row],[Quoted Rev]]</f>
        <v>33145.900805999998</v>
      </c>
      <c r="P119" s="178"/>
      <c r="Q119" s="178" t="s">
        <v>51</v>
      </c>
      <c r="R119" s="178"/>
      <c r="S119" s="178"/>
      <c r="T119" s="178"/>
      <c r="U119" s="178">
        <f>(Table1[[#This Row],[Invoice Date]]-Table1[[#This Row],[Month]])/7</f>
        <v>5.4285714285714288</v>
      </c>
      <c r="V119" s="178"/>
      <c r="W119" s="178">
        <f t="shared" si="15"/>
        <v>0</v>
      </c>
      <c r="X119" s="178"/>
      <c r="Y119" s="178"/>
      <c r="Z119" s="178"/>
      <c r="AA119" s="178"/>
      <c r="AB119" s="178"/>
      <c r="AC119" s="178"/>
      <c r="AD119" s="193"/>
      <c r="AE119" s="193"/>
      <c r="AF119" s="178"/>
      <c r="AG119" s="178" t="s">
        <v>52</v>
      </c>
      <c r="AH119" s="179">
        <v>1</v>
      </c>
      <c r="AI119" s="193"/>
      <c r="AJ119" s="178" t="s">
        <v>53</v>
      </c>
      <c r="AK119" s="178">
        <f>+Table1[[#This Row],[PO Amount]]</f>
        <v>43995.09</v>
      </c>
      <c r="AL119" s="244">
        <v>45961</v>
      </c>
      <c r="AM119" s="215">
        <f>(Table1[[#This Row],[Invoice Date]]-Table1[[#This Row],[Month]])/7</f>
        <v>5.4285714285714288</v>
      </c>
      <c r="AN119" s="229">
        <v>30</v>
      </c>
      <c r="AO119" s="263">
        <f t="shared" si="13"/>
        <v>45991</v>
      </c>
      <c r="AP119" s="178" t="s">
        <v>53</v>
      </c>
      <c r="AQ119" s="178"/>
      <c r="AR119" s="178"/>
    </row>
    <row r="120" spans="1:44" ht="15.75">
      <c r="A120" s="173">
        <v>45917</v>
      </c>
      <c r="B120" s="174" t="s">
        <v>63</v>
      </c>
      <c r="C120" s="270" t="s">
        <v>286</v>
      </c>
      <c r="D120" s="174"/>
      <c r="E120" s="174"/>
      <c r="F120" s="174"/>
      <c r="G120" s="269" t="s">
        <v>287</v>
      </c>
      <c r="H120" s="268" t="s">
        <v>288</v>
      </c>
      <c r="I120" s="177" t="s">
        <v>200</v>
      </c>
      <c r="J120" s="177" t="s">
        <v>49</v>
      </c>
      <c r="K120" s="177" t="s">
        <v>50</v>
      </c>
      <c r="L120" s="178">
        <v>4503.5</v>
      </c>
      <c r="M120" s="242">
        <v>0.21279999999999999</v>
      </c>
      <c r="N120" s="178">
        <f>+Table1[[#This Row],[PO Amount]]*Table1[[#This Row],[Theorical Margen]]</f>
        <v>958.34479999999996</v>
      </c>
      <c r="O120" s="178">
        <f>+Table1[[#This Row],[PO Amount]]-Table1[[#This Row],[Quoted Rev]]</f>
        <v>3545.1552000000001</v>
      </c>
      <c r="P120" s="178"/>
      <c r="Q120" s="178" t="s">
        <v>51</v>
      </c>
      <c r="R120" s="178"/>
      <c r="S120" s="178"/>
      <c r="T120" s="178"/>
      <c r="U120" s="178">
        <f>(Table1[[#This Row],[Invoice Date]]-Table1[[#This Row],[Month]])/7</f>
        <v>2.2857142857142856</v>
      </c>
      <c r="V120" s="178"/>
      <c r="W120" s="178">
        <f t="shared" si="15"/>
        <v>0</v>
      </c>
      <c r="X120" s="178"/>
      <c r="Y120" s="178"/>
      <c r="Z120" s="178"/>
      <c r="AA120" s="178"/>
      <c r="AB120" s="178"/>
      <c r="AC120" s="178"/>
      <c r="AD120" s="193"/>
      <c r="AE120" s="193"/>
      <c r="AF120" s="178"/>
      <c r="AG120" s="178" t="s">
        <v>52</v>
      </c>
      <c r="AH120" s="179">
        <v>1</v>
      </c>
      <c r="AI120" s="193">
        <v>1217</v>
      </c>
      <c r="AJ120" s="178" t="s">
        <v>150</v>
      </c>
      <c r="AK120" s="178">
        <f>+Table1[[#This Row],[PO Amount]]</f>
        <v>4503.5</v>
      </c>
      <c r="AL120" s="244">
        <v>45933</v>
      </c>
      <c r="AM120" s="215">
        <f>(Table1[[#This Row],[Invoice Date]]-Table1[[#This Row],[Month]])/7</f>
        <v>2.2857142857142856</v>
      </c>
      <c r="AN120" s="229">
        <v>30</v>
      </c>
      <c r="AO120" s="263">
        <f t="shared" si="13"/>
        <v>45963</v>
      </c>
      <c r="AP120" s="178" t="s">
        <v>53</v>
      </c>
      <c r="AQ120" s="178"/>
      <c r="AR120" s="178"/>
    </row>
    <row r="121" spans="1:44" ht="15.75">
      <c r="A121" s="173">
        <v>45931</v>
      </c>
      <c r="B121" s="174" t="s">
        <v>63</v>
      </c>
      <c r="C121" s="270">
        <v>530899</v>
      </c>
      <c r="D121" s="174"/>
      <c r="E121" s="174"/>
      <c r="F121" s="174"/>
      <c r="G121" s="176" t="s">
        <v>289</v>
      </c>
      <c r="H121" s="177" t="s">
        <v>290</v>
      </c>
      <c r="I121" s="177" t="s">
        <v>278</v>
      </c>
      <c r="J121" s="177" t="s">
        <v>49</v>
      </c>
      <c r="K121" s="177" t="s">
        <v>50</v>
      </c>
      <c r="L121" s="178">
        <v>45238.18</v>
      </c>
      <c r="M121" s="242">
        <v>0.22</v>
      </c>
      <c r="N121" s="178">
        <f>+Table1[[#This Row],[PO Amount]]*Table1[[#This Row],[Theorical Margen]]</f>
        <v>9952.3996000000006</v>
      </c>
      <c r="O121" s="178">
        <f>+Table1[[#This Row],[PO Amount]]-Table1[[#This Row],[Quoted Rev]]</f>
        <v>35285.780400000003</v>
      </c>
      <c r="P121" s="178"/>
      <c r="Q121" s="178" t="s">
        <v>51</v>
      </c>
      <c r="R121" s="178"/>
      <c r="S121" s="178"/>
      <c r="T121" s="178"/>
      <c r="U121" s="178">
        <f>(Table1[[#This Row],[Invoice Date]]-Table1[[#This Row],[Month]])/7</f>
        <v>8.2857142857142865</v>
      </c>
      <c r="V121" s="178"/>
      <c r="W121" s="178">
        <f t="shared" ref="W121" si="16">T121+V121</f>
        <v>0</v>
      </c>
      <c r="X121" s="178"/>
      <c r="Y121" s="178"/>
      <c r="Z121" s="178"/>
      <c r="AA121" s="178"/>
      <c r="AB121" s="178"/>
      <c r="AC121" s="178"/>
      <c r="AD121" s="193"/>
      <c r="AE121" s="193"/>
      <c r="AF121" s="178"/>
      <c r="AG121" s="178" t="s">
        <v>52</v>
      </c>
      <c r="AH121" s="179">
        <v>1</v>
      </c>
      <c r="AI121" s="193"/>
      <c r="AJ121" s="178" t="s">
        <v>53</v>
      </c>
      <c r="AK121" s="178">
        <f>+Table1[[#This Row],[PO Amount]]</f>
        <v>45238.18</v>
      </c>
      <c r="AL121" s="244">
        <v>45989</v>
      </c>
      <c r="AM121" s="215">
        <f>(Table1[[#This Row],[Invoice Date]]-Table1[[#This Row],[Month]])/7</f>
        <v>8.2857142857142865</v>
      </c>
      <c r="AN121" s="229">
        <v>30</v>
      </c>
      <c r="AO121" s="263">
        <f t="shared" ref="AO121" si="17">AL121+AN121</f>
        <v>46019</v>
      </c>
      <c r="AP121" s="178" t="s">
        <v>53</v>
      </c>
      <c r="AQ121" s="178"/>
      <c r="AR121" s="178"/>
    </row>
    <row r="122" spans="1:44" ht="25.5">
      <c r="A122" s="173">
        <v>45957</v>
      </c>
      <c r="B122" s="174" t="s">
        <v>95</v>
      </c>
      <c r="C122" s="270">
        <v>4507189893</v>
      </c>
      <c r="D122" s="174"/>
      <c r="E122" s="174"/>
      <c r="F122" s="174"/>
      <c r="G122" s="176" t="s">
        <v>291</v>
      </c>
      <c r="H122" s="177" t="s">
        <v>292</v>
      </c>
      <c r="I122" s="177" t="s">
        <v>293</v>
      </c>
      <c r="J122" s="177" t="s">
        <v>49</v>
      </c>
      <c r="K122" s="177" t="s">
        <v>50</v>
      </c>
      <c r="L122" s="178">
        <v>6216</v>
      </c>
      <c r="M122" s="242">
        <v>0.4</v>
      </c>
      <c r="N122" s="178">
        <f>+Table1[[#This Row],[PO Amount]]*Table1[[#This Row],[Theorical Margen]]</f>
        <v>2486.4</v>
      </c>
      <c r="O122" s="178">
        <f>+Table1[[#This Row],[PO Amount]]-Table1[[#This Row],[Quoted Rev]]</f>
        <v>3729.6</v>
      </c>
      <c r="P122" s="178"/>
      <c r="Q122" s="178" t="s">
        <v>51</v>
      </c>
      <c r="R122" s="178"/>
      <c r="S122" s="178"/>
      <c r="T122" s="178"/>
      <c r="U122" s="178">
        <f>(Table1[[#This Row],[Invoice Date]]-Table1[[#This Row],[Month]])/7</f>
        <v>3.2857142857142856</v>
      </c>
      <c r="V122" s="178"/>
      <c r="W122" s="178">
        <f t="shared" ref="W122" si="18">T122+V122</f>
        <v>0</v>
      </c>
      <c r="X122" s="178"/>
      <c r="Y122" s="178"/>
      <c r="Z122" s="178"/>
      <c r="AA122" s="178"/>
      <c r="AB122" s="178"/>
      <c r="AC122" s="178"/>
      <c r="AD122" s="193"/>
      <c r="AE122" s="193"/>
      <c r="AF122" s="178"/>
      <c r="AG122" s="178" t="s">
        <v>52</v>
      </c>
      <c r="AH122" s="179">
        <v>1</v>
      </c>
      <c r="AI122" s="193"/>
      <c r="AJ122" s="178" t="s">
        <v>53</v>
      </c>
      <c r="AK122" s="178">
        <f>+Table1[[#This Row],[PO Amount]]</f>
        <v>6216</v>
      </c>
      <c r="AL122" s="244">
        <v>45980</v>
      </c>
      <c r="AM122" s="215">
        <f>(Table1[[#This Row],[Invoice Date]]-Table1[[#This Row],[Month]])/7</f>
        <v>3.2857142857142856</v>
      </c>
      <c r="AN122" s="229">
        <v>30</v>
      </c>
      <c r="AO122" s="263">
        <f t="shared" ref="AO122" si="19">AL122+AN122</f>
        <v>46010</v>
      </c>
      <c r="AP122" s="178" t="s">
        <v>53</v>
      </c>
      <c r="AQ122" s="178"/>
      <c r="AR122" s="178"/>
    </row>
    <row r="123" spans="1:44">
      <c r="A123" s="173"/>
      <c r="B123" s="174"/>
      <c r="C123" s="279"/>
      <c r="D123" s="174"/>
      <c r="E123" s="174"/>
      <c r="F123" s="174"/>
      <c r="G123" s="176"/>
      <c r="H123" s="177"/>
      <c r="I123" s="177"/>
      <c r="J123" s="177"/>
      <c r="K123" s="177"/>
      <c r="L123" s="178"/>
      <c r="M123" s="178"/>
      <c r="N123" s="178"/>
      <c r="O123" s="178"/>
      <c r="P123" s="178"/>
      <c r="Q123" s="178"/>
      <c r="R123" s="178"/>
      <c r="S123" s="178"/>
      <c r="T123" s="178"/>
      <c r="U123" s="178"/>
      <c r="V123" s="178"/>
      <c r="W123" s="178"/>
      <c r="X123" s="178"/>
      <c r="Y123" s="178"/>
      <c r="Z123" s="178"/>
      <c r="AA123" s="178"/>
      <c r="AB123" s="178"/>
      <c r="AC123" s="178"/>
      <c r="AD123" s="193"/>
      <c r="AE123" s="193"/>
      <c r="AF123" s="178"/>
      <c r="AG123" s="178"/>
      <c r="AH123" s="179"/>
      <c r="AI123" s="193"/>
      <c r="AJ123" s="178"/>
      <c r="AK123" s="178"/>
      <c r="AL123" s="244"/>
      <c r="AM123" s="220"/>
      <c r="AN123" s="229"/>
      <c r="AO123" s="244"/>
      <c r="AP123" s="178"/>
      <c r="AQ123" s="178"/>
      <c r="AR123" s="178"/>
    </row>
    <row r="124" spans="1:44">
      <c r="A124" s="173"/>
      <c r="B124" s="174"/>
      <c r="C124" s="279"/>
      <c r="D124" s="174"/>
      <c r="E124" s="174"/>
      <c r="F124" s="174"/>
      <c r="G124" s="176"/>
      <c r="H124" s="177"/>
      <c r="I124" s="177"/>
      <c r="J124" s="177"/>
      <c r="K124" s="177"/>
      <c r="L124" s="178"/>
      <c r="M124" s="178"/>
      <c r="N124" s="178"/>
      <c r="O124" s="178"/>
      <c r="P124" s="178"/>
      <c r="Q124" s="178"/>
      <c r="R124" s="178"/>
      <c r="S124" s="178"/>
      <c r="T124" s="178"/>
      <c r="U124" s="178"/>
      <c r="V124" s="178"/>
      <c r="W124" s="178"/>
      <c r="X124" s="178"/>
      <c r="Y124" s="178"/>
      <c r="Z124" s="178"/>
      <c r="AA124" s="178"/>
      <c r="AB124" s="178"/>
      <c r="AC124" s="178"/>
      <c r="AD124" s="193"/>
      <c r="AE124" s="193"/>
      <c r="AF124" s="178"/>
      <c r="AG124" s="178"/>
      <c r="AH124" s="179"/>
      <c r="AI124" s="193"/>
      <c r="AJ124" s="178"/>
      <c r="AK124" s="178"/>
      <c r="AL124" s="244"/>
      <c r="AM124" s="220"/>
      <c r="AN124" s="229"/>
      <c r="AO124" s="244"/>
      <c r="AP124" s="178"/>
      <c r="AQ124" s="178"/>
      <c r="AR124" s="178"/>
    </row>
    <row r="125" spans="1:44">
      <c r="A125" s="173"/>
      <c r="B125" s="174"/>
      <c r="C125" s="279"/>
      <c r="D125" s="174"/>
      <c r="E125" s="174"/>
      <c r="F125" s="174"/>
      <c r="G125" s="176"/>
      <c r="H125" s="177"/>
      <c r="I125" s="177"/>
      <c r="J125" s="177"/>
      <c r="K125" s="177"/>
      <c r="L125" s="178"/>
      <c r="M125" s="178"/>
      <c r="N125" s="178"/>
      <c r="O125" s="178"/>
      <c r="P125" s="178"/>
      <c r="Q125" s="178"/>
      <c r="R125" s="178"/>
      <c r="S125" s="178"/>
      <c r="T125" s="178"/>
      <c r="U125" s="178"/>
      <c r="V125" s="178"/>
      <c r="W125" s="178"/>
      <c r="X125" s="178"/>
      <c r="Y125" s="178"/>
      <c r="Z125" s="178"/>
      <c r="AA125" s="178"/>
      <c r="AB125" s="178"/>
      <c r="AC125" s="178"/>
      <c r="AD125" s="193"/>
      <c r="AE125" s="193"/>
      <c r="AF125" s="178"/>
      <c r="AG125" s="178"/>
      <c r="AH125" s="179"/>
      <c r="AI125" s="193"/>
      <c r="AJ125" s="178"/>
      <c r="AK125" s="178"/>
      <c r="AL125" s="244"/>
      <c r="AM125" s="220"/>
      <c r="AN125" s="229"/>
      <c r="AO125" s="244"/>
      <c r="AP125" s="178"/>
      <c r="AQ125" s="178"/>
      <c r="AR125" s="178"/>
    </row>
    <row r="126" spans="1:44">
      <c r="A126" s="173"/>
      <c r="B126" s="174"/>
      <c r="C126" s="279"/>
      <c r="D126" s="174"/>
      <c r="E126" s="174"/>
      <c r="F126" s="174"/>
      <c r="G126" s="176"/>
      <c r="H126" s="177"/>
      <c r="I126" s="177"/>
      <c r="J126" s="177"/>
      <c r="K126" s="177"/>
      <c r="L126" s="178"/>
      <c r="M126" s="178"/>
      <c r="N126" s="178"/>
      <c r="O126" s="178"/>
      <c r="P126" s="178"/>
      <c r="Q126" s="178"/>
      <c r="R126" s="178"/>
      <c r="S126" s="178"/>
      <c r="T126" s="178"/>
      <c r="U126" s="178">
        <f>(Table1[[#This Row],[Invoice Date]]-Table1[[#This Row],[Month]])/7</f>
        <v>0</v>
      </c>
      <c r="V126" s="178"/>
      <c r="W126" s="178">
        <f t="shared" si="15"/>
        <v>0</v>
      </c>
      <c r="X126" s="178"/>
      <c r="Y126" s="178"/>
      <c r="Z126" s="178"/>
      <c r="AA126" s="178"/>
      <c r="AB126" s="178"/>
      <c r="AC126" s="178"/>
      <c r="AD126" s="193"/>
      <c r="AE126" s="193"/>
      <c r="AF126" s="178"/>
      <c r="AG126" s="178"/>
      <c r="AH126" s="179"/>
      <c r="AI126" s="193"/>
      <c r="AJ126" s="178"/>
      <c r="AK126" s="178"/>
      <c r="AL126" s="244"/>
      <c r="AM126" s="220"/>
      <c r="AN126" s="229"/>
      <c r="AO126" s="244"/>
      <c r="AP126" s="178"/>
      <c r="AQ126" s="178"/>
      <c r="AR126" s="178"/>
    </row>
    <row r="127" spans="1:44">
      <c r="A127" s="173"/>
      <c r="B127" s="174"/>
      <c r="C127" s="279"/>
      <c r="D127" s="174"/>
      <c r="E127" s="174"/>
      <c r="F127" s="174"/>
      <c r="G127" s="176"/>
      <c r="H127" s="177"/>
      <c r="I127" s="177"/>
      <c r="J127" s="177"/>
      <c r="K127" s="177"/>
      <c r="L127" s="178"/>
      <c r="M127" s="178"/>
      <c r="N127" s="178"/>
      <c r="O127" s="178"/>
      <c r="P127" s="178"/>
      <c r="Q127" s="178"/>
      <c r="R127" s="178"/>
      <c r="S127" s="178"/>
      <c r="T127" s="178"/>
      <c r="U127" s="178">
        <f>(Table1[[#This Row],[Invoice Date]]-Table1[[#This Row],[Month]])/7</f>
        <v>0</v>
      </c>
      <c r="V127" s="178"/>
      <c r="W127" s="178">
        <f t="shared" si="15"/>
        <v>0</v>
      </c>
      <c r="X127" s="178"/>
      <c r="Y127" s="178"/>
      <c r="Z127" s="178"/>
      <c r="AA127" s="178"/>
      <c r="AB127" s="178"/>
      <c r="AC127" s="178"/>
      <c r="AD127" s="193"/>
      <c r="AE127" s="193"/>
      <c r="AF127" s="178"/>
      <c r="AG127" s="178"/>
      <c r="AH127" s="179"/>
      <c r="AI127" s="193"/>
      <c r="AJ127" s="178"/>
      <c r="AK127" s="178"/>
      <c r="AL127" s="244"/>
      <c r="AM127" s="220"/>
      <c r="AN127" s="229"/>
      <c r="AO127" s="244"/>
      <c r="AP127" s="178"/>
      <c r="AQ127" s="178"/>
      <c r="AR127" s="178"/>
    </row>
    <row r="128" spans="1:44">
      <c r="A128" s="173"/>
      <c r="B128" s="174"/>
      <c r="C128" s="279"/>
      <c r="D128" s="174"/>
      <c r="E128" s="174"/>
      <c r="F128" s="174"/>
      <c r="G128" s="176"/>
      <c r="H128" s="177"/>
      <c r="I128" s="177"/>
      <c r="J128" s="177"/>
      <c r="K128" s="177"/>
      <c r="L128" s="178"/>
      <c r="M128" s="178"/>
      <c r="N128" s="178"/>
      <c r="O128" s="178"/>
      <c r="P128" s="178"/>
      <c r="Q128" s="178"/>
      <c r="R128" s="178"/>
      <c r="S128" s="178"/>
      <c r="T128" s="178"/>
      <c r="U128" s="178">
        <f>(Table1[[#This Row],[Invoice Date]]-Table1[[#This Row],[Month]])/7</f>
        <v>0</v>
      </c>
      <c r="V128" s="178"/>
      <c r="W128" s="178">
        <f t="shared" si="15"/>
        <v>0</v>
      </c>
      <c r="X128" s="178"/>
      <c r="Y128" s="178"/>
      <c r="Z128" s="178"/>
      <c r="AA128" s="178"/>
      <c r="AB128" s="178"/>
      <c r="AC128" s="178"/>
      <c r="AD128" s="193"/>
      <c r="AE128" s="193"/>
      <c r="AF128" s="178"/>
      <c r="AG128" s="178"/>
      <c r="AH128" s="179"/>
      <c r="AI128" s="193"/>
      <c r="AJ128" s="178"/>
      <c r="AK128" s="178"/>
      <c r="AL128" s="244"/>
      <c r="AM128" s="220"/>
      <c r="AN128" s="229"/>
      <c r="AO128" s="244"/>
      <c r="AP128" s="178"/>
      <c r="AQ128" s="178"/>
      <c r="AR128" s="178"/>
    </row>
    <row r="129" spans="1:44">
      <c r="A129" s="173"/>
      <c r="B129" s="174"/>
      <c r="C129" s="279"/>
      <c r="D129" s="174"/>
      <c r="E129" s="174"/>
      <c r="F129" s="174"/>
      <c r="G129" s="176"/>
      <c r="H129" s="177"/>
      <c r="I129" s="177"/>
      <c r="J129" s="177"/>
      <c r="K129" s="177"/>
      <c r="L129" s="178"/>
      <c r="M129" s="178"/>
      <c r="N129" s="178"/>
      <c r="O129" s="178"/>
      <c r="P129" s="178"/>
      <c r="Q129" s="178"/>
      <c r="R129" s="178"/>
      <c r="S129" s="178"/>
      <c r="T129" s="178"/>
      <c r="U129" s="178">
        <f>(Table1[[#This Row],[Invoice Date]]-Table1[[#This Row],[Month]])/7</f>
        <v>0</v>
      </c>
      <c r="V129" s="178"/>
      <c r="W129" s="178">
        <f t="shared" si="15"/>
        <v>0</v>
      </c>
      <c r="X129" s="178"/>
      <c r="Y129" s="178"/>
      <c r="Z129" s="178"/>
      <c r="AA129" s="178"/>
      <c r="AB129" s="178"/>
      <c r="AC129" s="178"/>
      <c r="AD129" s="193"/>
      <c r="AE129" s="193"/>
      <c r="AF129" s="178"/>
      <c r="AG129" s="178"/>
      <c r="AH129" s="179"/>
      <c r="AI129" s="193"/>
      <c r="AJ129" s="178"/>
      <c r="AK129" s="178"/>
      <c r="AL129" s="244"/>
      <c r="AM129" s="220"/>
      <c r="AN129" s="229"/>
      <c r="AO129" s="244"/>
      <c r="AP129" s="178"/>
      <c r="AQ129" s="178"/>
      <c r="AR129" s="178"/>
    </row>
    <row r="130" spans="1:44">
      <c r="A130" s="173"/>
      <c r="B130" s="174"/>
      <c r="C130" s="279"/>
      <c r="D130" s="174"/>
      <c r="E130" s="174"/>
      <c r="F130" s="174"/>
      <c r="G130" s="176"/>
      <c r="H130" s="177"/>
      <c r="I130" s="177"/>
      <c r="J130" s="177"/>
      <c r="K130" s="177"/>
      <c r="L130" s="178"/>
      <c r="M130" s="178"/>
      <c r="N130" s="178"/>
      <c r="O130" s="178"/>
      <c r="P130" s="178"/>
      <c r="Q130" s="178"/>
      <c r="R130" s="178"/>
      <c r="S130" s="178"/>
      <c r="T130" s="178"/>
      <c r="U130" s="178">
        <f>(Table1[[#This Row],[Invoice Date]]-Table1[[#This Row],[Month]])/7</f>
        <v>0</v>
      </c>
      <c r="V130" s="178"/>
      <c r="W130" s="178">
        <f t="shared" si="15"/>
        <v>0</v>
      </c>
      <c r="X130" s="178"/>
      <c r="Y130" s="178"/>
      <c r="Z130" s="178"/>
      <c r="AA130" s="178"/>
      <c r="AB130" s="178"/>
      <c r="AC130" s="178"/>
      <c r="AD130" s="193"/>
      <c r="AE130" s="193"/>
      <c r="AF130" s="178"/>
      <c r="AG130" s="178"/>
      <c r="AH130" s="179"/>
      <c r="AI130" s="193"/>
      <c r="AJ130" s="178"/>
      <c r="AK130" s="178"/>
      <c r="AL130" s="244"/>
      <c r="AM130" s="220"/>
      <c r="AN130" s="229"/>
      <c r="AO130" s="244"/>
      <c r="AP130" s="178"/>
      <c r="AQ130" s="178"/>
      <c r="AR130" s="178"/>
    </row>
    <row r="131" spans="1:44">
      <c r="A131" s="173"/>
      <c r="B131" s="174"/>
      <c r="C131" s="279"/>
      <c r="D131" s="174"/>
      <c r="E131" s="174"/>
      <c r="F131" s="174"/>
      <c r="G131" s="176"/>
      <c r="H131" s="177"/>
      <c r="I131" s="177"/>
      <c r="J131" s="177"/>
      <c r="K131" s="177"/>
      <c r="L131" s="178"/>
      <c r="M131" s="178"/>
      <c r="N131" s="178"/>
      <c r="O131" s="178"/>
      <c r="P131" s="178"/>
      <c r="Q131" s="178"/>
      <c r="R131" s="178"/>
      <c r="S131" s="178"/>
      <c r="T131" s="178"/>
      <c r="U131" s="178">
        <f>(Table1[[#This Row],[Invoice Date]]-Table1[[#This Row],[Month]])/7</f>
        <v>0</v>
      </c>
      <c r="V131" s="178"/>
      <c r="W131" s="178">
        <f t="shared" si="15"/>
        <v>0</v>
      </c>
      <c r="X131" s="178"/>
      <c r="Y131" s="178"/>
      <c r="Z131" s="178"/>
      <c r="AA131" s="178"/>
      <c r="AB131" s="178"/>
      <c r="AC131" s="178"/>
      <c r="AD131" s="193"/>
      <c r="AE131" s="193"/>
      <c r="AF131" s="178"/>
      <c r="AG131" s="178"/>
      <c r="AH131" s="179"/>
      <c r="AI131" s="193"/>
      <c r="AJ131" s="178"/>
      <c r="AK131" s="178"/>
      <c r="AL131" s="244"/>
      <c r="AM131" s="220"/>
      <c r="AN131" s="229"/>
      <c r="AO131" s="244"/>
      <c r="AP131" s="178"/>
      <c r="AQ131" s="178"/>
      <c r="AR131" s="178"/>
    </row>
    <row r="132" spans="1:44">
      <c r="A132" s="173"/>
      <c r="B132" s="174"/>
      <c r="C132" s="279"/>
      <c r="D132" s="174"/>
      <c r="E132" s="174"/>
      <c r="F132" s="174"/>
      <c r="G132" s="176"/>
      <c r="H132" s="177"/>
      <c r="I132" s="177"/>
      <c r="J132" s="177"/>
      <c r="K132" s="177"/>
      <c r="L132" s="178"/>
      <c r="M132" s="178"/>
      <c r="N132" s="178"/>
      <c r="O132" s="178"/>
      <c r="P132" s="178"/>
      <c r="Q132" s="178"/>
      <c r="R132" s="178"/>
      <c r="S132" s="178"/>
      <c r="T132" s="178"/>
      <c r="U132" s="178">
        <f>(Table1[[#This Row],[Invoice Date]]-Table1[[#This Row],[Month]])/7</f>
        <v>0</v>
      </c>
      <c r="V132" s="178"/>
      <c r="W132" s="178">
        <f t="shared" si="15"/>
        <v>0</v>
      </c>
      <c r="X132" s="178"/>
      <c r="Y132" s="178"/>
      <c r="Z132" s="178"/>
      <c r="AA132" s="178"/>
      <c r="AB132" s="178"/>
      <c r="AC132" s="178"/>
      <c r="AD132" s="193"/>
      <c r="AE132" s="193"/>
      <c r="AF132" s="178"/>
      <c r="AG132" s="178"/>
      <c r="AH132" s="179"/>
      <c r="AI132" s="193"/>
      <c r="AJ132" s="178"/>
      <c r="AK132" s="178"/>
      <c r="AL132" s="244"/>
      <c r="AM132" s="220"/>
      <c r="AN132" s="229"/>
      <c r="AO132" s="244"/>
      <c r="AP132" s="178"/>
      <c r="AQ132" s="178"/>
      <c r="AR132" s="178"/>
    </row>
    <row r="133" spans="1:44">
      <c r="A133" s="173"/>
      <c r="B133" s="174"/>
      <c r="C133" s="279"/>
      <c r="D133" s="174"/>
      <c r="E133" s="174"/>
      <c r="F133" s="174"/>
      <c r="G133" s="176"/>
      <c r="H133" s="177"/>
      <c r="I133" s="177"/>
      <c r="J133" s="177"/>
      <c r="K133" s="177"/>
      <c r="L133" s="178"/>
      <c r="M133" s="178"/>
      <c r="N133" s="178"/>
      <c r="O133" s="178"/>
      <c r="P133" s="178"/>
      <c r="Q133" s="178"/>
      <c r="R133" s="178"/>
      <c r="S133" s="178"/>
      <c r="T133" s="178"/>
      <c r="U133" s="178">
        <f>(Table1[[#This Row],[Invoice Date]]-Table1[[#This Row],[Month]])/7</f>
        <v>0</v>
      </c>
      <c r="V133" s="178"/>
      <c r="W133" s="178">
        <f t="shared" si="15"/>
        <v>0</v>
      </c>
      <c r="X133" s="178"/>
      <c r="Y133" s="178"/>
      <c r="Z133" s="178"/>
      <c r="AA133" s="178"/>
      <c r="AB133" s="178"/>
      <c r="AC133" s="178"/>
      <c r="AD133" s="193"/>
      <c r="AE133" s="193"/>
      <c r="AF133" s="178"/>
      <c r="AG133" s="178"/>
      <c r="AH133" s="179"/>
      <c r="AI133" s="193"/>
      <c r="AJ133" s="178"/>
      <c r="AK133" s="178"/>
      <c r="AL133" s="244"/>
      <c r="AM133" s="220"/>
      <c r="AN133" s="229"/>
      <c r="AO133" s="244"/>
      <c r="AP133" s="178"/>
      <c r="AQ133" s="178"/>
      <c r="AR133" s="178"/>
    </row>
    <row r="134" spans="1:44">
      <c r="A134" s="173"/>
      <c r="B134" s="174"/>
      <c r="C134" s="279"/>
      <c r="D134" s="174"/>
      <c r="E134" s="174"/>
      <c r="F134" s="174"/>
      <c r="G134" s="176"/>
      <c r="H134" s="177"/>
      <c r="I134" s="177"/>
      <c r="J134" s="177"/>
      <c r="K134" s="177"/>
      <c r="L134" s="178"/>
      <c r="M134" s="178"/>
      <c r="N134" s="178"/>
      <c r="O134" s="178"/>
      <c r="P134" s="178"/>
      <c r="Q134" s="178"/>
      <c r="R134" s="178"/>
      <c r="S134" s="178"/>
      <c r="T134" s="178"/>
      <c r="U134" s="178">
        <f>(Table1[[#This Row],[Invoice Date]]-Table1[[#This Row],[Month]])/7</f>
        <v>0</v>
      </c>
      <c r="V134" s="178"/>
      <c r="W134" s="178">
        <f t="shared" si="15"/>
        <v>0</v>
      </c>
      <c r="X134" s="178"/>
      <c r="Y134" s="178"/>
      <c r="Z134" s="178"/>
      <c r="AA134" s="178"/>
      <c r="AB134" s="178"/>
      <c r="AC134" s="178"/>
      <c r="AD134" s="193"/>
      <c r="AE134" s="193"/>
      <c r="AF134" s="178"/>
      <c r="AG134" s="178"/>
      <c r="AH134" s="179"/>
      <c r="AI134" s="193"/>
      <c r="AJ134" s="178"/>
      <c r="AK134" s="178"/>
      <c r="AL134" s="244"/>
      <c r="AM134" s="220"/>
      <c r="AN134" s="229"/>
      <c r="AO134" s="244"/>
      <c r="AP134" s="178"/>
      <c r="AQ134" s="178"/>
      <c r="AR134" s="178"/>
    </row>
    <row r="135" spans="1:44">
      <c r="A135" s="173"/>
      <c r="B135" s="174"/>
      <c r="C135" s="279"/>
      <c r="D135" s="174"/>
      <c r="E135" s="174"/>
      <c r="F135" s="174"/>
      <c r="G135" s="176"/>
      <c r="H135" s="177"/>
      <c r="I135" s="177"/>
      <c r="J135" s="177"/>
      <c r="K135" s="177"/>
      <c r="L135" s="178"/>
      <c r="M135" s="178"/>
      <c r="N135" s="178"/>
      <c r="O135" s="178"/>
      <c r="P135" s="178"/>
      <c r="Q135" s="178"/>
      <c r="R135" s="178"/>
      <c r="S135" s="178"/>
      <c r="T135" s="178"/>
      <c r="U135" s="178">
        <f>(Table1[[#This Row],[Invoice Date]]-Table1[[#This Row],[Month]])/7</f>
        <v>0</v>
      </c>
      <c r="V135" s="178"/>
      <c r="W135" s="178">
        <f t="shared" si="15"/>
        <v>0</v>
      </c>
      <c r="X135" s="178"/>
      <c r="Y135" s="178"/>
      <c r="Z135" s="178"/>
      <c r="AA135" s="178"/>
      <c r="AB135" s="178"/>
      <c r="AC135" s="178"/>
      <c r="AD135" s="193"/>
      <c r="AE135" s="193"/>
      <c r="AF135" s="178"/>
      <c r="AG135" s="178"/>
      <c r="AH135" s="179"/>
      <c r="AI135" s="193"/>
      <c r="AJ135" s="178"/>
      <c r="AK135" s="178"/>
      <c r="AL135" s="244"/>
      <c r="AM135" s="220"/>
      <c r="AN135" s="229"/>
      <c r="AO135" s="244"/>
      <c r="AP135" s="178"/>
      <c r="AQ135" s="178"/>
      <c r="AR135" s="178"/>
    </row>
    <row r="136" spans="1:44">
      <c r="A136" s="173"/>
      <c r="B136" s="174"/>
      <c r="C136" s="279"/>
      <c r="D136" s="174"/>
      <c r="E136" s="174"/>
      <c r="F136" s="174"/>
      <c r="G136" s="176"/>
      <c r="H136" s="177"/>
      <c r="I136" s="177"/>
      <c r="J136" s="177"/>
      <c r="K136" s="177"/>
      <c r="L136" s="178"/>
      <c r="M136" s="178"/>
      <c r="N136" s="178"/>
      <c r="O136" s="178"/>
      <c r="P136" s="178"/>
      <c r="Q136" s="178"/>
      <c r="R136" s="178"/>
      <c r="S136" s="178"/>
      <c r="T136" s="178"/>
      <c r="U136" s="178">
        <f>(Table1[[#This Row],[Invoice Date]]-Table1[[#This Row],[Month]])/7</f>
        <v>0</v>
      </c>
      <c r="V136" s="178"/>
      <c r="W136" s="178">
        <f t="shared" si="15"/>
        <v>0</v>
      </c>
      <c r="X136" s="178"/>
      <c r="Y136" s="178"/>
      <c r="Z136" s="178"/>
      <c r="AA136" s="178"/>
      <c r="AB136" s="178"/>
      <c r="AC136" s="178"/>
      <c r="AD136" s="193"/>
      <c r="AE136" s="193"/>
      <c r="AF136" s="178"/>
      <c r="AG136" s="178"/>
      <c r="AH136" s="179"/>
      <c r="AI136" s="193"/>
      <c r="AJ136" s="178"/>
      <c r="AK136" s="178"/>
      <c r="AL136" s="244"/>
      <c r="AM136" s="220"/>
      <c r="AN136" s="229"/>
      <c r="AO136" s="244"/>
      <c r="AP136" s="178"/>
      <c r="AQ136" s="178"/>
      <c r="AR136" s="178"/>
    </row>
    <row r="137" spans="1:44">
      <c r="A137" s="173"/>
      <c r="B137" s="174"/>
      <c r="C137" s="279"/>
      <c r="D137" s="174"/>
      <c r="E137" s="174"/>
      <c r="F137" s="174"/>
      <c r="G137" s="176"/>
      <c r="H137" s="177"/>
      <c r="I137" s="177"/>
      <c r="J137" s="177"/>
      <c r="K137" s="177"/>
      <c r="L137" s="178"/>
      <c r="M137" s="178"/>
      <c r="N137" s="178"/>
      <c r="O137" s="178"/>
      <c r="P137" s="178"/>
      <c r="Q137" s="178"/>
      <c r="R137" s="178"/>
      <c r="S137" s="178"/>
      <c r="T137" s="178"/>
      <c r="U137" s="178">
        <f>(Table1[[#This Row],[Invoice Date]]-Table1[[#This Row],[Month]])/7</f>
        <v>0</v>
      </c>
      <c r="V137" s="178"/>
      <c r="W137" s="178">
        <f t="shared" si="15"/>
        <v>0</v>
      </c>
      <c r="X137" s="178"/>
      <c r="Y137" s="178"/>
      <c r="Z137" s="178"/>
      <c r="AA137" s="178"/>
      <c r="AB137" s="178"/>
      <c r="AC137" s="178"/>
      <c r="AD137" s="193"/>
      <c r="AE137" s="193"/>
      <c r="AF137" s="178"/>
      <c r="AG137" s="178"/>
      <c r="AH137" s="179"/>
      <c r="AI137" s="193"/>
      <c r="AJ137" s="178"/>
      <c r="AK137" s="178"/>
      <c r="AL137" s="244"/>
      <c r="AM137" s="220"/>
      <c r="AN137" s="229"/>
      <c r="AO137" s="244"/>
      <c r="AP137" s="178"/>
      <c r="AQ137" s="178"/>
      <c r="AR137" s="178"/>
    </row>
    <row r="138" spans="1:44">
      <c r="A138" s="173"/>
      <c r="B138" s="174"/>
      <c r="C138" s="279"/>
      <c r="D138" s="174"/>
      <c r="E138" s="174"/>
      <c r="F138" s="174"/>
      <c r="G138" s="176"/>
      <c r="H138" s="177"/>
      <c r="I138" s="177"/>
      <c r="J138" s="177"/>
      <c r="K138" s="177"/>
      <c r="L138" s="178"/>
      <c r="M138" s="178"/>
      <c r="N138" s="178"/>
      <c r="O138" s="178"/>
      <c r="P138" s="178"/>
      <c r="Q138" s="178"/>
      <c r="R138" s="178"/>
      <c r="S138" s="178"/>
      <c r="T138" s="178"/>
      <c r="U138" s="178">
        <f>(Table1[[#This Row],[Invoice Date]]-Table1[[#This Row],[Month]])/7</f>
        <v>0</v>
      </c>
      <c r="V138" s="178"/>
      <c r="W138" s="178">
        <f t="shared" si="15"/>
        <v>0</v>
      </c>
      <c r="X138" s="178"/>
      <c r="Y138" s="178"/>
      <c r="Z138" s="178"/>
      <c r="AA138" s="178"/>
      <c r="AB138" s="178"/>
      <c r="AC138" s="178"/>
      <c r="AD138" s="193"/>
      <c r="AE138" s="193"/>
      <c r="AF138" s="178"/>
      <c r="AG138" s="178"/>
      <c r="AH138" s="179"/>
      <c r="AI138" s="193"/>
      <c r="AJ138" s="178"/>
      <c r="AK138" s="178"/>
      <c r="AL138" s="244"/>
      <c r="AM138" s="220"/>
      <c r="AN138" s="229"/>
      <c r="AO138" s="244"/>
      <c r="AP138" s="178"/>
      <c r="AQ138" s="178"/>
      <c r="AR138" s="178"/>
    </row>
    <row r="139" spans="1:44">
      <c r="A139" s="173"/>
      <c r="B139" s="174"/>
      <c r="C139" s="279"/>
      <c r="D139" s="174"/>
      <c r="E139" s="174"/>
      <c r="F139" s="174"/>
      <c r="G139" s="176"/>
      <c r="H139" s="177"/>
      <c r="I139" s="177"/>
      <c r="J139" s="177"/>
      <c r="K139" s="177"/>
      <c r="L139" s="178"/>
      <c r="M139" s="178"/>
      <c r="N139" s="178"/>
      <c r="O139" s="178"/>
      <c r="P139" s="178"/>
      <c r="Q139" s="178"/>
      <c r="R139" s="178"/>
      <c r="S139" s="178"/>
      <c r="T139" s="178"/>
      <c r="U139" s="178">
        <f>(Table1[[#This Row],[Invoice Date]]-Table1[[#This Row],[Month]])/7</f>
        <v>0</v>
      </c>
      <c r="V139" s="178"/>
      <c r="W139" s="178">
        <f t="shared" si="15"/>
        <v>0</v>
      </c>
      <c r="X139" s="178"/>
      <c r="Y139" s="178"/>
      <c r="Z139" s="178"/>
      <c r="AA139" s="178"/>
      <c r="AB139" s="178"/>
      <c r="AC139" s="178"/>
      <c r="AD139" s="193"/>
      <c r="AE139" s="193"/>
      <c r="AF139" s="178"/>
      <c r="AG139" s="178"/>
      <c r="AH139" s="179"/>
      <c r="AI139" s="193"/>
      <c r="AJ139" s="178"/>
      <c r="AK139" s="178"/>
      <c r="AL139" s="244"/>
      <c r="AM139" s="220"/>
      <c r="AN139" s="229"/>
      <c r="AO139" s="244"/>
      <c r="AP139" s="178"/>
      <c r="AQ139" s="178"/>
      <c r="AR139" s="178"/>
    </row>
    <row r="140" spans="1:44">
      <c r="A140" s="173"/>
      <c r="B140" s="174"/>
      <c r="C140" s="279"/>
      <c r="D140" s="174"/>
      <c r="E140" s="174"/>
      <c r="F140" s="174"/>
      <c r="G140" s="176"/>
      <c r="H140" s="177"/>
      <c r="I140" s="177"/>
      <c r="J140" s="177"/>
      <c r="K140" s="177"/>
      <c r="L140" s="178"/>
      <c r="M140" s="178"/>
      <c r="N140" s="178"/>
      <c r="O140" s="178"/>
      <c r="P140" s="178"/>
      <c r="Q140" s="178"/>
      <c r="R140" s="178"/>
      <c r="S140" s="178"/>
      <c r="T140" s="178"/>
      <c r="U140" s="178">
        <f>(Table1[[#This Row],[Invoice Date]]-Table1[[#This Row],[Month]])/7</f>
        <v>0</v>
      </c>
      <c r="V140" s="178"/>
      <c r="W140" s="178">
        <f t="shared" si="15"/>
        <v>0</v>
      </c>
      <c r="X140" s="178"/>
      <c r="Y140" s="178"/>
      <c r="Z140" s="178"/>
      <c r="AA140" s="178"/>
      <c r="AB140" s="178"/>
      <c r="AC140" s="178"/>
      <c r="AD140" s="193"/>
      <c r="AE140" s="193"/>
      <c r="AF140" s="178"/>
      <c r="AG140" s="178"/>
      <c r="AH140" s="179"/>
      <c r="AI140" s="193"/>
      <c r="AJ140" s="178"/>
      <c r="AK140" s="178"/>
      <c r="AL140" s="244"/>
      <c r="AM140" s="220"/>
      <c r="AN140" s="229"/>
      <c r="AO140" s="244"/>
      <c r="AP140" s="178"/>
      <c r="AQ140" s="178"/>
      <c r="AR140" s="178"/>
    </row>
    <row r="141" spans="1:44">
      <c r="A141" s="173"/>
      <c r="B141" s="174"/>
      <c r="C141" s="279"/>
      <c r="D141" s="174"/>
      <c r="E141" s="174"/>
      <c r="F141" s="174"/>
      <c r="G141" s="176"/>
      <c r="H141" s="177"/>
      <c r="I141" s="177"/>
      <c r="J141" s="177"/>
      <c r="K141" s="177"/>
      <c r="L141" s="178"/>
      <c r="M141" s="178"/>
      <c r="N141" s="178"/>
      <c r="O141" s="178"/>
      <c r="P141" s="178"/>
      <c r="Q141" s="178"/>
      <c r="R141" s="178"/>
      <c r="S141" s="178"/>
      <c r="T141" s="178"/>
      <c r="U141" s="178">
        <f>(Table1[[#This Row],[Invoice Date]]-Table1[[#This Row],[Month]])/7</f>
        <v>0</v>
      </c>
      <c r="V141" s="178"/>
      <c r="W141" s="178">
        <f t="shared" si="15"/>
        <v>0</v>
      </c>
      <c r="X141" s="178"/>
      <c r="Y141" s="178"/>
      <c r="Z141" s="178"/>
      <c r="AA141" s="178"/>
      <c r="AB141" s="178"/>
      <c r="AC141" s="178"/>
      <c r="AD141" s="193"/>
      <c r="AE141" s="193"/>
      <c r="AF141" s="178"/>
      <c r="AG141" s="178"/>
      <c r="AH141" s="179"/>
      <c r="AI141" s="193"/>
      <c r="AJ141" s="178"/>
      <c r="AK141" s="178"/>
      <c r="AL141" s="244"/>
      <c r="AM141" s="220"/>
      <c r="AN141" s="229"/>
      <c r="AO141" s="244"/>
      <c r="AP141" s="178"/>
      <c r="AQ141" s="178"/>
      <c r="AR141" s="178"/>
    </row>
    <row r="142" spans="1:44">
      <c r="A142" s="173"/>
      <c r="B142" s="174"/>
      <c r="C142" s="279"/>
      <c r="D142" s="174"/>
      <c r="E142" s="174"/>
      <c r="F142" s="174"/>
      <c r="G142" s="176"/>
      <c r="H142" s="177"/>
      <c r="I142" s="177"/>
      <c r="J142" s="177"/>
      <c r="K142" s="177"/>
      <c r="L142" s="178"/>
      <c r="M142" s="178"/>
      <c r="N142" s="178"/>
      <c r="O142" s="178"/>
      <c r="P142" s="178"/>
      <c r="Q142" s="178"/>
      <c r="R142" s="178"/>
      <c r="S142" s="178"/>
      <c r="T142" s="178"/>
      <c r="U142" s="178">
        <f>(Table1[[#This Row],[Invoice Date]]-Table1[[#This Row],[Month]])/7</f>
        <v>0</v>
      </c>
      <c r="V142" s="178"/>
      <c r="W142" s="178">
        <f t="shared" si="15"/>
        <v>0</v>
      </c>
      <c r="X142" s="178"/>
      <c r="Y142" s="178"/>
      <c r="Z142" s="178"/>
      <c r="AA142" s="178"/>
      <c r="AB142" s="178"/>
      <c r="AC142" s="178"/>
      <c r="AD142" s="193"/>
      <c r="AE142" s="193"/>
      <c r="AF142" s="178"/>
      <c r="AG142" s="178"/>
      <c r="AH142" s="179"/>
      <c r="AI142" s="193"/>
      <c r="AJ142" s="178"/>
      <c r="AK142" s="178"/>
      <c r="AL142" s="244"/>
      <c r="AM142" s="220"/>
      <c r="AN142" s="229"/>
      <c r="AO142" s="244"/>
      <c r="AP142" s="178"/>
      <c r="AQ142" s="178"/>
      <c r="AR142" s="178"/>
    </row>
    <row r="143" spans="1:44">
      <c r="A143" s="173"/>
      <c r="B143" s="174"/>
      <c r="C143" s="279"/>
      <c r="D143" s="174"/>
      <c r="E143" s="174"/>
      <c r="F143" s="174"/>
      <c r="G143" s="176"/>
      <c r="H143" s="177"/>
      <c r="I143" s="177"/>
      <c r="J143" s="177"/>
      <c r="K143" s="177"/>
      <c r="L143" s="178"/>
      <c r="M143" s="178"/>
      <c r="N143" s="178"/>
      <c r="O143" s="178"/>
      <c r="P143" s="178"/>
      <c r="Q143" s="178"/>
      <c r="R143" s="178"/>
      <c r="S143" s="178"/>
      <c r="T143" s="178"/>
      <c r="U143" s="178">
        <f>(Table1[[#This Row],[Invoice Date]]-Table1[[#This Row],[Month]])/7</f>
        <v>0</v>
      </c>
      <c r="V143" s="178"/>
      <c r="W143" s="178">
        <f t="shared" si="15"/>
        <v>0</v>
      </c>
      <c r="X143" s="178"/>
      <c r="Y143" s="178"/>
      <c r="Z143" s="178"/>
      <c r="AA143" s="178"/>
      <c r="AB143" s="178"/>
      <c r="AC143" s="178"/>
      <c r="AD143" s="193"/>
      <c r="AE143" s="193"/>
      <c r="AF143" s="178"/>
      <c r="AG143" s="178"/>
      <c r="AH143" s="179"/>
      <c r="AI143" s="193"/>
      <c r="AJ143" s="178"/>
      <c r="AK143" s="178"/>
      <c r="AL143" s="244"/>
      <c r="AM143" s="220"/>
      <c r="AN143" s="229"/>
      <c r="AO143" s="244"/>
      <c r="AP143" s="178"/>
      <c r="AQ143" s="178"/>
      <c r="AR143" s="178"/>
    </row>
    <row r="144" spans="1:44">
      <c r="A144" s="173"/>
      <c r="B144" s="174"/>
      <c r="C144" s="279"/>
      <c r="D144" s="174"/>
      <c r="E144" s="174"/>
      <c r="F144" s="174"/>
      <c r="G144" s="176"/>
      <c r="H144" s="177"/>
      <c r="I144" s="177"/>
      <c r="J144" s="177"/>
      <c r="K144" s="177"/>
      <c r="L144" s="178"/>
      <c r="M144" s="178"/>
      <c r="N144" s="178"/>
      <c r="O144" s="178"/>
      <c r="P144" s="178"/>
      <c r="Q144" s="178"/>
      <c r="R144" s="178"/>
      <c r="S144" s="178"/>
      <c r="T144" s="178"/>
      <c r="U144" s="178">
        <f>(Table1[[#This Row],[Invoice Date]]-Table1[[#This Row],[Month]])/7</f>
        <v>0</v>
      </c>
      <c r="V144" s="178"/>
      <c r="W144" s="178">
        <f t="shared" si="15"/>
        <v>0</v>
      </c>
      <c r="X144" s="178"/>
      <c r="Y144" s="178"/>
      <c r="Z144" s="178"/>
      <c r="AA144" s="178"/>
      <c r="AB144" s="178"/>
      <c r="AC144" s="178"/>
      <c r="AD144" s="193"/>
      <c r="AE144" s="193"/>
      <c r="AF144" s="178"/>
      <c r="AG144" s="178"/>
      <c r="AH144" s="179"/>
      <c r="AI144" s="193"/>
      <c r="AJ144" s="178"/>
      <c r="AK144" s="178"/>
      <c r="AL144" s="244"/>
      <c r="AM144" s="220"/>
      <c r="AN144" s="229"/>
      <c r="AO144" s="244"/>
      <c r="AP144" s="178"/>
      <c r="AQ144" s="178"/>
      <c r="AR144" s="178"/>
    </row>
    <row r="145" spans="1:44">
      <c r="A145" s="173"/>
      <c r="B145" s="174"/>
      <c r="C145" s="279"/>
      <c r="D145" s="174"/>
      <c r="E145" s="174"/>
      <c r="F145" s="174"/>
      <c r="G145" s="176"/>
      <c r="H145" s="177"/>
      <c r="I145" s="177"/>
      <c r="J145" s="177"/>
      <c r="K145" s="177"/>
      <c r="L145" s="178"/>
      <c r="M145" s="178"/>
      <c r="N145" s="178"/>
      <c r="O145" s="178"/>
      <c r="P145" s="178"/>
      <c r="Q145" s="178"/>
      <c r="R145" s="178"/>
      <c r="S145" s="178"/>
      <c r="T145" s="178"/>
      <c r="U145" s="178">
        <f>(Table1[[#This Row],[Invoice Date]]-Table1[[#This Row],[Month]])/7</f>
        <v>0</v>
      </c>
      <c r="V145" s="178"/>
      <c r="W145" s="178">
        <f t="shared" si="15"/>
        <v>0</v>
      </c>
      <c r="X145" s="178"/>
      <c r="Y145" s="178"/>
      <c r="Z145" s="178"/>
      <c r="AA145" s="178"/>
      <c r="AB145" s="178"/>
      <c r="AC145" s="178"/>
      <c r="AD145" s="193"/>
      <c r="AE145" s="193"/>
      <c r="AF145" s="178"/>
      <c r="AG145" s="178"/>
      <c r="AH145" s="179"/>
      <c r="AI145" s="193"/>
      <c r="AJ145" s="178"/>
      <c r="AK145" s="178"/>
      <c r="AL145" s="244"/>
      <c r="AM145" s="220"/>
      <c r="AN145" s="229"/>
      <c r="AO145" s="244"/>
      <c r="AP145" s="178"/>
      <c r="AQ145" s="178"/>
      <c r="AR145" s="178"/>
    </row>
    <row r="146" spans="1:44">
      <c r="A146" s="173"/>
      <c r="B146" s="174"/>
      <c r="C146" s="279"/>
      <c r="D146" s="174"/>
      <c r="E146" s="174"/>
      <c r="F146" s="174"/>
      <c r="G146" s="176"/>
      <c r="H146" s="177"/>
      <c r="I146" s="177"/>
      <c r="J146" s="177"/>
      <c r="K146" s="177"/>
      <c r="L146" s="178"/>
      <c r="M146" s="178"/>
      <c r="N146" s="178"/>
      <c r="O146" s="178"/>
      <c r="P146" s="178"/>
      <c r="Q146" s="178"/>
      <c r="R146" s="178"/>
      <c r="S146" s="178"/>
      <c r="T146" s="178"/>
      <c r="U146" s="178">
        <f>(Table1[[#This Row],[Invoice Date]]-Table1[[#This Row],[Month]])/7</f>
        <v>0</v>
      </c>
      <c r="V146" s="178"/>
      <c r="W146" s="178">
        <f t="shared" ref="W146:W166" si="20">T146+V146</f>
        <v>0</v>
      </c>
      <c r="X146" s="178"/>
      <c r="Y146" s="178"/>
      <c r="Z146" s="178"/>
      <c r="AA146" s="178"/>
      <c r="AB146" s="178"/>
      <c r="AC146" s="178"/>
      <c r="AD146" s="193"/>
      <c r="AE146" s="193"/>
      <c r="AF146" s="178"/>
      <c r="AG146" s="178"/>
      <c r="AH146" s="179"/>
      <c r="AI146" s="193"/>
      <c r="AJ146" s="178"/>
      <c r="AK146" s="178"/>
      <c r="AL146" s="244"/>
      <c r="AM146" s="220"/>
      <c r="AN146" s="229"/>
      <c r="AO146" s="244"/>
      <c r="AP146" s="178"/>
      <c r="AQ146" s="178"/>
      <c r="AR146" s="178"/>
    </row>
    <row r="147" spans="1:44">
      <c r="A147" s="173"/>
      <c r="B147" s="174"/>
      <c r="C147" s="279"/>
      <c r="D147" s="174"/>
      <c r="E147" s="174"/>
      <c r="F147" s="174"/>
      <c r="G147" s="176"/>
      <c r="H147" s="177"/>
      <c r="I147" s="177"/>
      <c r="J147" s="177"/>
      <c r="K147" s="177"/>
      <c r="L147" s="178"/>
      <c r="M147" s="178"/>
      <c r="N147" s="178"/>
      <c r="O147" s="178"/>
      <c r="P147" s="178"/>
      <c r="Q147" s="178"/>
      <c r="R147" s="178"/>
      <c r="S147" s="178"/>
      <c r="T147" s="178"/>
      <c r="U147" s="178">
        <f>(Table1[[#This Row],[Invoice Date]]-Table1[[#This Row],[Month]])/7</f>
        <v>0</v>
      </c>
      <c r="V147" s="178"/>
      <c r="W147" s="178">
        <f t="shared" si="20"/>
        <v>0</v>
      </c>
      <c r="X147" s="178"/>
      <c r="Y147" s="178"/>
      <c r="Z147" s="178"/>
      <c r="AA147" s="178"/>
      <c r="AB147" s="178"/>
      <c r="AC147" s="178"/>
      <c r="AD147" s="193"/>
      <c r="AE147" s="193"/>
      <c r="AF147" s="178"/>
      <c r="AG147" s="178"/>
      <c r="AH147" s="179"/>
      <c r="AI147" s="193"/>
      <c r="AJ147" s="178"/>
      <c r="AK147" s="178"/>
      <c r="AL147" s="244"/>
      <c r="AM147" s="220"/>
      <c r="AN147" s="229"/>
      <c r="AO147" s="244"/>
      <c r="AP147" s="178"/>
      <c r="AQ147" s="178"/>
      <c r="AR147" s="178"/>
    </row>
    <row r="148" spans="1:44">
      <c r="A148" s="173"/>
      <c r="B148" s="174"/>
      <c r="C148" s="279"/>
      <c r="D148" s="174"/>
      <c r="E148" s="174"/>
      <c r="F148" s="174"/>
      <c r="G148" s="176"/>
      <c r="H148" s="177"/>
      <c r="I148" s="177"/>
      <c r="J148" s="177"/>
      <c r="K148" s="177"/>
      <c r="L148" s="178"/>
      <c r="M148" s="178"/>
      <c r="N148" s="178"/>
      <c r="O148" s="178"/>
      <c r="P148" s="178"/>
      <c r="Q148" s="178"/>
      <c r="R148" s="178"/>
      <c r="S148" s="178"/>
      <c r="T148" s="178"/>
      <c r="U148" s="178">
        <f>(Table1[[#This Row],[Invoice Date]]-Table1[[#This Row],[Month]])/7</f>
        <v>0</v>
      </c>
      <c r="V148" s="178"/>
      <c r="W148" s="178">
        <f t="shared" si="20"/>
        <v>0</v>
      </c>
      <c r="X148" s="178"/>
      <c r="Y148" s="178"/>
      <c r="Z148" s="178"/>
      <c r="AA148" s="178"/>
      <c r="AB148" s="178"/>
      <c r="AC148" s="178"/>
      <c r="AD148" s="193"/>
      <c r="AE148" s="193"/>
      <c r="AF148" s="178"/>
      <c r="AG148" s="178"/>
      <c r="AH148" s="179"/>
      <c r="AI148" s="193"/>
      <c r="AJ148" s="178"/>
      <c r="AK148" s="178"/>
      <c r="AL148" s="244"/>
      <c r="AM148" s="220"/>
      <c r="AN148" s="229"/>
      <c r="AO148" s="244"/>
      <c r="AP148" s="178"/>
      <c r="AQ148" s="178"/>
      <c r="AR148" s="178"/>
    </row>
    <row r="149" spans="1:44">
      <c r="A149" s="173"/>
      <c r="B149" s="174"/>
      <c r="C149" s="279"/>
      <c r="D149" s="174"/>
      <c r="E149" s="174"/>
      <c r="F149" s="174"/>
      <c r="G149" s="176"/>
      <c r="H149" s="177"/>
      <c r="I149" s="177"/>
      <c r="J149" s="177"/>
      <c r="K149" s="177"/>
      <c r="L149" s="178"/>
      <c r="M149" s="178"/>
      <c r="N149" s="178"/>
      <c r="O149" s="178"/>
      <c r="P149" s="178"/>
      <c r="Q149" s="178"/>
      <c r="R149" s="178"/>
      <c r="S149" s="178"/>
      <c r="T149" s="178"/>
      <c r="U149" s="178">
        <f>(Table1[[#This Row],[Invoice Date]]-Table1[[#This Row],[Month]])/7</f>
        <v>0</v>
      </c>
      <c r="V149" s="178"/>
      <c r="W149" s="178">
        <f t="shared" si="20"/>
        <v>0</v>
      </c>
      <c r="X149" s="178"/>
      <c r="Y149" s="178"/>
      <c r="Z149" s="178"/>
      <c r="AA149" s="178"/>
      <c r="AB149" s="178"/>
      <c r="AC149" s="178"/>
      <c r="AD149" s="193"/>
      <c r="AE149" s="193"/>
      <c r="AF149" s="178"/>
      <c r="AG149" s="178"/>
      <c r="AH149" s="179"/>
      <c r="AI149" s="193"/>
      <c r="AJ149" s="178"/>
      <c r="AK149" s="178"/>
      <c r="AL149" s="244"/>
      <c r="AM149" s="220"/>
      <c r="AN149" s="229"/>
      <c r="AO149" s="244"/>
      <c r="AP149" s="178"/>
      <c r="AQ149" s="178"/>
      <c r="AR149" s="178"/>
    </row>
    <row r="150" spans="1:44">
      <c r="A150" s="173"/>
      <c r="B150" s="174"/>
      <c r="C150" s="279"/>
      <c r="D150" s="174"/>
      <c r="E150" s="174"/>
      <c r="F150" s="174"/>
      <c r="G150" s="176"/>
      <c r="H150" s="177"/>
      <c r="I150" s="177"/>
      <c r="J150" s="177"/>
      <c r="K150" s="177"/>
      <c r="L150" s="178"/>
      <c r="M150" s="178"/>
      <c r="N150" s="178"/>
      <c r="O150" s="178"/>
      <c r="P150" s="178"/>
      <c r="Q150" s="178"/>
      <c r="R150" s="178"/>
      <c r="S150" s="178"/>
      <c r="T150" s="178"/>
      <c r="U150" s="178">
        <f>(Table1[[#This Row],[Invoice Date]]-Table1[[#This Row],[Month]])/7</f>
        <v>0</v>
      </c>
      <c r="V150" s="178"/>
      <c r="W150" s="178">
        <f t="shared" si="20"/>
        <v>0</v>
      </c>
      <c r="X150" s="178"/>
      <c r="Y150" s="178"/>
      <c r="Z150" s="178"/>
      <c r="AA150" s="178"/>
      <c r="AB150" s="178"/>
      <c r="AC150" s="178"/>
      <c r="AD150" s="193"/>
      <c r="AE150" s="193"/>
      <c r="AF150" s="178"/>
      <c r="AG150" s="178"/>
      <c r="AH150" s="179"/>
      <c r="AI150" s="193"/>
      <c r="AJ150" s="178"/>
      <c r="AK150" s="178"/>
      <c r="AL150" s="244"/>
      <c r="AM150" s="220"/>
      <c r="AN150" s="229"/>
      <c r="AO150" s="244"/>
      <c r="AP150" s="178"/>
      <c r="AQ150" s="178"/>
      <c r="AR150" s="178"/>
    </row>
    <row r="151" spans="1:44">
      <c r="A151" s="173"/>
      <c r="B151" s="174"/>
      <c r="C151" s="279"/>
      <c r="D151" s="174"/>
      <c r="E151" s="174"/>
      <c r="F151" s="174"/>
      <c r="G151" s="176"/>
      <c r="H151" s="177"/>
      <c r="I151" s="177"/>
      <c r="J151" s="177"/>
      <c r="K151" s="177"/>
      <c r="L151" s="178"/>
      <c r="M151" s="178"/>
      <c r="N151" s="178"/>
      <c r="O151" s="178"/>
      <c r="P151" s="178"/>
      <c r="Q151" s="178"/>
      <c r="R151" s="178"/>
      <c r="S151" s="178"/>
      <c r="T151" s="178"/>
      <c r="U151" s="178">
        <f>(Table1[[#This Row],[Invoice Date]]-Table1[[#This Row],[Month]])/7</f>
        <v>0</v>
      </c>
      <c r="V151" s="178"/>
      <c r="W151" s="178">
        <f t="shared" si="20"/>
        <v>0</v>
      </c>
      <c r="X151" s="178"/>
      <c r="Y151" s="178"/>
      <c r="Z151" s="178"/>
      <c r="AA151" s="178"/>
      <c r="AB151" s="178"/>
      <c r="AC151" s="178"/>
      <c r="AD151" s="193"/>
      <c r="AE151" s="193"/>
      <c r="AF151" s="178"/>
      <c r="AG151" s="178"/>
      <c r="AH151" s="179"/>
      <c r="AI151" s="193"/>
      <c r="AJ151" s="178"/>
      <c r="AK151" s="178"/>
      <c r="AL151" s="244"/>
      <c r="AM151" s="220"/>
      <c r="AN151" s="229"/>
      <c r="AO151" s="244"/>
      <c r="AP151" s="178"/>
      <c r="AQ151" s="178"/>
      <c r="AR151" s="178"/>
    </row>
    <row r="152" spans="1:44">
      <c r="A152" s="173"/>
      <c r="B152" s="174"/>
      <c r="C152" s="279"/>
      <c r="D152" s="174"/>
      <c r="E152" s="174"/>
      <c r="F152" s="174"/>
      <c r="G152" s="176"/>
      <c r="H152" s="177"/>
      <c r="I152" s="177"/>
      <c r="J152" s="177"/>
      <c r="K152" s="177"/>
      <c r="L152" s="178"/>
      <c r="M152" s="178"/>
      <c r="N152" s="178"/>
      <c r="O152" s="178"/>
      <c r="P152" s="178"/>
      <c r="Q152" s="178"/>
      <c r="R152" s="178"/>
      <c r="S152" s="178"/>
      <c r="T152" s="178"/>
      <c r="U152" s="178">
        <f>(Table1[[#This Row],[Invoice Date]]-Table1[[#This Row],[Month]])/7</f>
        <v>0</v>
      </c>
      <c r="V152" s="178"/>
      <c r="W152" s="178">
        <f t="shared" si="20"/>
        <v>0</v>
      </c>
      <c r="X152" s="178"/>
      <c r="Y152" s="178"/>
      <c r="Z152" s="178"/>
      <c r="AA152" s="178"/>
      <c r="AB152" s="178"/>
      <c r="AC152" s="178"/>
      <c r="AD152" s="193"/>
      <c r="AE152" s="193"/>
      <c r="AF152" s="178"/>
      <c r="AG152" s="178"/>
      <c r="AH152" s="179"/>
      <c r="AI152" s="193"/>
      <c r="AJ152" s="178"/>
      <c r="AK152" s="178"/>
      <c r="AL152" s="244"/>
      <c r="AM152" s="220"/>
      <c r="AN152" s="229"/>
      <c r="AO152" s="244"/>
      <c r="AP152" s="178"/>
      <c r="AQ152" s="178"/>
      <c r="AR152" s="178"/>
    </row>
    <row r="153" spans="1:44">
      <c r="A153" s="173"/>
      <c r="B153" s="174"/>
      <c r="C153" s="279"/>
      <c r="D153" s="174"/>
      <c r="E153" s="174"/>
      <c r="F153" s="174"/>
      <c r="G153" s="176"/>
      <c r="H153" s="177"/>
      <c r="I153" s="177"/>
      <c r="J153" s="177"/>
      <c r="K153" s="177"/>
      <c r="L153" s="178"/>
      <c r="M153" s="178"/>
      <c r="N153" s="178"/>
      <c r="O153" s="178"/>
      <c r="P153" s="178"/>
      <c r="Q153" s="178"/>
      <c r="R153" s="178"/>
      <c r="S153" s="178"/>
      <c r="T153" s="178"/>
      <c r="U153" s="178">
        <f>(Table1[[#This Row],[Invoice Date]]-Table1[[#This Row],[Month]])/7</f>
        <v>0</v>
      </c>
      <c r="V153" s="178"/>
      <c r="W153" s="178">
        <f t="shared" si="20"/>
        <v>0</v>
      </c>
      <c r="X153" s="178"/>
      <c r="Y153" s="178"/>
      <c r="Z153" s="178"/>
      <c r="AA153" s="178"/>
      <c r="AB153" s="178"/>
      <c r="AC153" s="178"/>
      <c r="AD153" s="193"/>
      <c r="AE153" s="193"/>
      <c r="AF153" s="178"/>
      <c r="AG153" s="178"/>
      <c r="AH153" s="179"/>
      <c r="AI153" s="193"/>
      <c r="AJ153" s="178"/>
      <c r="AK153" s="178"/>
      <c r="AL153" s="244"/>
      <c r="AM153" s="220"/>
      <c r="AN153" s="229"/>
      <c r="AO153" s="244"/>
      <c r="AP153" s="178"/>
      <c r="AQ153" s="178"/>
      <c r="AR153" s="178"/>
    </row>
    <row r="154" spans="1:44">
      <c r="A154" s="173"/>
      <c r="B154" s="174"/>
      <c r="C154" s="279"/>
      <c r="D154" s="174"/>
      <c r="E154" s="174"/>
      <c r="F154" s="174"/>
      <c r="G154" s="176"/>
      <c r="H154" s="177"/>
      <c r="I154" s="177"/>
      <c r="J154" s="177"/>
      <c r="K154" s="177"/>
      <c r="L154" s="178"/>
      <c r="M154" s="178"/>
      <c r="N154" s="178"/>
      <c r="O154" s="178"/>
      <c r="P154" s="178"/>
      <c r="Q154" s="178"/>
      <c r="R154" s="178"/>
      <c r="S154" s="178"/>
      <c r="T154" s="178"/>
      <c r="U154" s="178">
        <f>(Table1[[#This Row],[Invoice Date]]-Table1[[#This Row],[Month]])/7</f>
        <v>0</v>
      </c>
      <c r="V154" s="178"/>
      <c r="W154" s="178">
        <f t="shared" si="20"/>
        <v>0</v>
      </c>
      <c r="X154" s="178"/>
      <c r="Y154" s="178"/>
      <c r="Z154" s="178"/>
      <c r="AA154" s="178"/>
      <c r="AB154" s="178"/>
      <c r="AC154" s="178"/>
      <c r="AD154" s="193"/>
      <c r="AE154" s="193"/>
      <c r="AF154" s="178"/>
      <c r="AG154" s="178"/>
      <c r="AH154" s="179"/>
      <c r="AI154" s="193"/>
      <c r="AJ154" s="178"/>
      <c r="AK154" s="178"/>
      <c r="AL154" s="244"/>
      <c r="AM154" s="220"/>
      <c r="AN154" s="229"/>
      <c r="AO154" s="244"/>
      <c r="AP154" s="178"/>
      <c r="AQ154" s="178"/>
      <c r="AR154" s="178"/>
    </row>
    <row r="155" spans="1:44">
      <c r="A155" s="173"/>
      <c r="B155" s="174"/>
      <c r="C155" s="279"/>
      <c r="D155" s="174"/>
      <c r="E155" s="174"/>
      <c r="F155" s="174"/>
      <c r="G155" s="176"/>
      <c r="H155" s="177"/>
      <c r="I155" s="177"/>
      <c r="J155" s="177"/>
      <c r="K155" s="177"/>
      <c r="L155" s="178"/>
      <c r="M155" s="178"/>
      <c r="N155" s="178"/>
      <c r="O155" s="178"/>
      <c r="P155" s="178"/>
      <c r="Q155" s="178"/>
      <c r="R155" s="178"/>
      <c r="S155" s="178"/>
      <c r="T155" s="178"/>
      <c r="U155" s="178">
        <f>(Table1[[#This Row],[Invoice Date]]-Table1[[#This Row],[Month]])/7</f>
        <v>0</v>
      </c>
      <c r="V155" s="178"/>
      <c r="W155" s="178">
        <f t="shared" si="20"/>
        <v>0</v>
      </c>
      <c r="X155" s="178"/>
      <c r="Y155" s="178"/>
      <c r="Z155" s="178"/>
      <c r="AA155" s="178"/>
      <c r="AB155" s="178"/>
      <c r="AC155" s="178"/>
      <c r="AD155" s="193"/>
      <c r="AE155" s="193"/>
      <c r="AF155" s="178"/>
      <c r="AG155" s="178"/>
      <c r="AH155" s="179"/>
      <c r="AI155" s="193"/>
      <c r="AJ155" s="178"/>
      <c r="AK155" s="178"/>
      <c r="AL155" s="244"/>
      <c r="AM155" s="220"/>
      <c r="AN155" s="229"/>
      <c r="AO155" s="244"/>
      <c r="AP155" s="178"/>
      <c r="AQ155" s="178"/>
      <c r="AR155" s="178"/>
    </row>
    <row r="156" spans="1:44">
      <c r="A156" s="173"/>
      <c r="B156" s="174"/>
      <c r="C156" s="279"/>
      <c r="D156" s="174"/>
      <c r="E156" s="174"/>
      <c r="F156" s="174"/>
      <c r="G156" s="176"/>
      <c r="H156" s="177"/>
      <c r="I156" s="177"/>
      <c r="J156" s="177"/>
      <c r="K156" s="177"/>
      <c r="L156" s="178"/>
      <c r="M156" s="178"/>
      <c r="N156" s="178"/>
      <c r="O156" s="178"/>
      <c r="P156" s="178"/>
      <c r="Q156" s="178"/>
      <c r="R156" s="178"/>
      <c r="S156" s="178"/>
      <c r="T156" s="178"/>
      <c r="U156" s="178">
        <f>(Table1[[#This Row],[Invoice Date]]-Table1[[#This Row],[Month]])/7</f>
        <v>0</v>
      </c>
      <c r="V156" s="178"/>
      <c r="W156" s="178">
        <f t="shared" si="20"/>
        <v>0</v>
      </c>
      <c r="X156" s="178"/>
      <c r="Y156" s="178"/>
      <c r="Z156" s="178"/>
      <c r="AA156" s="178"/>
      <c r="AB156" s="178"/>
      <c r="AC156" s="178"/>
      <c r="AD156" s="193"/>
      <c r="AE156" s="193"/>
      <c r="AF156" s="178"/>
      <c r="AG156" s="178"/>
      <c r="AH156" s="179"/>
      <c r="AI156" s="193"/>
      <c r="AJ156" s="178"/>
      <c r="AK156" s="178"/>
      <c r="AL156" s="244"/>
      <c r="AM156" s="220"/>
      <c r="AN156" s="229"/>
      <c r="AO156" s="244"/>
      <c r="AP156" s="178"/>
      <c r="AQ156" s="178"/>
      <c r="AR156" s="178"/>
    </row>
    <row r="157" spans="1:44">
      <c r="A157" s="173"/>
      <c r="B157" s="174"/>
      <c r="C157" s="279"/>
      <c r="D157" s="174"/>
      <c r="E157" s="174"/>
      <c r="F157" s="174"/>
      <c r="G157" s="176"/>
      <c r="H157" s="177"/>
      <c r="I157" s="177"/>
      <c r="J157" s="177"/>
      <c r="K157" s="177"/>
      <c r="L157" s="178"/>
      <c r="M157" s="178"/>
      <c r="N157" s="178"/>
      <c r="O157" s="178"/>
      <c r="P157" s="178"/>
      <c r="Q157" s="178"/>
      <c r="R157" s="178"/>
      <c r="S157" s="178"/>
      <c r="T157" s="178"/>
      <c r="U157" s="178">
        <f>(Table1[[#This Row],[Invoice Date]]-Table1[[#This Row],[Month]])/7</f>
        <v>0</v>
      </c>
      <c r="V157" s="178"/>
      <c r="W157" s="178">
        <f t="shared" si="20"/>
        <v>0</v>
      </c>
      <c r="X157" s="178"/>
      <c r="Y157" s="178"/>
      <c r="Z157" s="178"/>
      <c r="AA157" s="178"/>
      <c r="AB157" s="178"/>
      <c r="AC157" s="178"/>
      <c r="AD157" s="193"/>
      <c r="AE157" s="193"/>
      <c r="AF157" s="178"/>
      <c r="AG157" s="178"/>
      <c r="AH157" s="179"/>
      <c r="AI157" s="193"/>
      <c r="AJ157" s="178"/>
      <c r="AK157" s="178"/>
      <c r="AL157" s="244"/>
      <c r="AM157" s="220"/>
      <c r="AN157" s="229"/>
      <c r="AO157" s="244"/>
      <c r="AP157" s="178"/>
      <c r="AQ157" s="178"/>
      <c r="AR157" s="178"/>
    </row>
    <row r="158" spans="1:44">
      <c r="A158" s="173"/>
      <c r="B158" s="174"/>
      <c r="C158" s="279"/>
      <c r="D158" s="174"/>
      <c r="E158" s="174"/>
      <c r="F158" s="174"/>
      <c r="G158" s="176"/>
      <c r="H158" s="177"/>
      <c r="I158" s="177"/>
      <c r="J158" s="177"/>
      <c r="K158" s="177"/>
      <c r="L158" s="178"/>
      <c r="M158" s="178"/>
      <c r="N158" s="178"/>
      <c r="O158" s="178"/>
      <c r="P158" s="178"/>
      <c r="Q158" s="178"/>
      <c r="R158" s="178"/>
      <c r="S158" s="178"/>
      <c r="T158" s="178"/>
      <c r="U158" s="178">
        <f>(Table1[[#This Row],[Invoice Date]]-Table1[[#This Row],[Month]])/7</f>
        <v>0</v>
      </c>
      <c r="V158" s="178"/>
      <c r="W158" s="178">
        <f t="shared" si="20"/>
        <v>0</v>
      </c>
      <c r="X158" s="178"/>
      <c r="Y158" s="178"/>
      <c r="Z158" s="178"/>
      <c r="AA158" s="178"/>
      <c r="AB158" s="178"/>
      <c r="AC158" s="178"/>
      <c r="AD158" s="193"/>
      <c r="AE158" s="193"/>
      <c r="AF158" s="178"/>
      <c r="AG158" s="178"/>
      <c r="AH158" s="179"/>
      <c r="AI158" s="193"/>
      <c r="AJ158" s="178"/>
      <c r="AK158" s="178"/>
      <c r="AL158" s="244"/>
      <c r="AM158" s="220"/>
      <c r="AN158" s="229"/>
      <c r="AO158" s="244"/>
      <c r="AP158" s="178"/>
      <c r="AQ158" s="178"/>
      <c r="AR158" s="178"/>
    </row>
    <row r="159" spans="1:44">
      <c r="A159" s="173"/>
      <c r="B159" s="174"/>
      <c r="C159" s="279"/>
      <c r="D159" s="174"/>
      <c r="E159" s="174"/>
      <c r="F159" s="174"/>
      <c r="G159" s="176"/>
      <c r="H159" s="177"/>
      <c r="I159" s="177"/>
      <c r="J159" s="177"/>
      <c r="K159" s="177"/>
      <c r="L159" s="178"/>
      <c r="M159" s="178"/>
      <c r="N159" s="178"/>
      <c r="O159" s="178"/>
      <c r="P159" s="178"/>
      <c r="Q159" s="178"/>
      <c r="R159" s="178"/>
      <c r="S159" s="178"/>
      <c r="T159" s="178"/>
      <c r="U159" s="178">
        <f>(Table1[[#This Row],[Invoice Date]]-Table1[[#This Row],[Month]])/7</f>
        <v>0</v>
      </c>
      <c r="V159" s="178"/>
      <c r="W159" s="178">
        <f t="shared" si="20"/>
        <v>0</v>
      </c>
      <c r="X159" s="178"/>
      <c r="Y159" s="178"/>
      <c r="Z159" s="178"/>
      <c r="AA159" s="178"/>
      <c r="AB159" s="178"/>
      <c r="AC159" s="178"/>
      <c r="AD159" s="193"/>
      <c r="AE159" s="193"/>
      <c r="AF159" s="178"/>
      <c r="AG159" s="178"/>
      <c r="AH159" s="179"/>
      <c r="AI159" s="193"/>
      <c r="AJ159" s="178"/>
      <c r="AK159" s="178"/>
      <c r="AL159" s="244"/>
      <c r="AM159" s="220"/>
      <c r="AN159" s="229"/>
      <c r="AO159" s="244"/>
      <c r="AP159" s="178"/>
      <c r="AQ159" s="178"/>
      <c r="AR159" s="178"/>
    </row>
    <row r="160" spans="1:44">
      <c r="A160" s="173"/>
      <c r="B160" s="174"/>
      <c r="C160" s="279"/>
      <c r="D160" s="174"/>
      <c r="E160" s="174"/>
      <c r="F160" s="174"/>
      <c r="G160" s="176"/>
      <c r="H160" s="177"/>
      <c r="I160" s="177"/>
      <c r="J160" s="177"/>
      <c r="K160" s="177"/>
      <c r="L160" s="178"/>
      <c r="M160" s="178"/>
      <c r="N160" s="178"/>
      <c r="O160" s="178"/>
      <c r="P160" s="178"/>
      <c r="Q160" s="178"/>
      <c r="R160" s="178"/>
      <c r="S160" s="178"/>
      <c r="T160" s="178"/>
      <c r="U160" s="178">
        <f>(Table1[[#This Row],[Invoice Date]]-Table1[[#This Row],[Month]])/7</f>
        <v>0</v>
      </c>
      <c r="V160" s="178"/>
      <c r="W160" s="178">
        <f t="shared" si="20"/>
        <v>0</v>
      </c>
      <c r="X160" s="178"/>
      <c r="Y160" s="178"/>
      <c r="Z160" s="178"/>
      <c r="AA160" s="178"/>
      <c r="AB160" s="178"/>
      <c r="AC160" s="178"/>
      <c r="AD160" s="193"/>
      <c r="AE160" s="193"/>
      <c r="AF160" s="178"/>
      <c r="AG160" s="178"/>
      <c r="AH160" s="179"/>
      <c r="AI160" s="193"/>
      <c r="AJ160" s="178"/>
      <c r="AK160" s="178"/>
      <c r="AL160" s="244"/>
      <c r="AM160" s="220"/>
      <c r="AN160" s="229"/>
      <c r="AO160" s="244"/>
      <c r="AP160" s="178"/>
      <c r="AQ160" s="178"/>
      <c r="AR160" s="178"/>
    </row>
    <row r="161" spans="1:44">
      <c r="A161" s="173"/>
      <c r="B161" s="174"/>
      <c r="C161" s="279"/>
      <c r="D161" s="174"/>
      <c r="E161" s="174"/>
      <c r="F161" s="174"/>
      <c r="G161" s="176"/>
      <c r="H161" s="177"/>
      <c r="I161" s="177"/>
      <c r="J161" s="177"/>
      <c r="K161" s="177"/>
      <c r="L161" s="178"/>
      <c r="M161" s="178"/>
      <c r="N161" s="178"/>
      <c r="O161" s="178"/>
      <c r="P161" s="178"/>
      <c r="Q161" s="178"/>
      <c r="R161" s="178"/>
      <c r="S161" s="178"/>
      <c r="T161" s="178"/>
      <c r="U161" s="178">
        <f>(Table1[[#This Row],[Invoice Date]]-Table1[[#This Row],[Month]])/7</f>
        <v>0</v>
      </c>
      <c r="V161" s="178"/>
      <c r="W161" s="178">
        <f t="shared" si="20"/>
        <v>0</v>
      </c>
      <c r="X161" s="178"/>
      <c r="Y161" s="178"/>
      <c r="Z161" s="178"/>
      <c r="AA161" s="178"/>
      <c r="AB161" s="178"/>
      <c r="AC161" s="178"/>
      <c r="AD161" s="193"/>
      <c r="AE161" s="193"/>
      <c r="AF161" s="178"/>
      <c r="AG161" s="178"/>
      <c r="AH161" s="179"/>
      <c r="AI161" s="193"/>
      <c r="AJ161" s="178"/>
      <c r="AK161" s="178"/>
      <c r="AL161" s="244"/>
      <c r="AM161" s="220"/>
      <c r="AN161" s="229"/>
      <c r="AO161" s="244"/>
      <c r="AP161" s="178"/>
      <c r="AQ161" s="178"/>
      <c r="AR161" s="178"/>
    </row>
    <row r="162" spans="1:44">
      <c r="A162" s="173"/>
      <c r="B162" s="174"/>
      <c r="C162" s="279"/>
      <c r="D162" s="174"/>
      <c r="E162" s="174"/>
      <c r="F162" s="174"/>
      <c r="G162" s="176"/>
      <c r="H162" s="177"/>
      <c r="I162" s="177"/>
      <c r="J162" s="177"/>
      <c r="K162" s="177"/>
      <c r="L162" s="178"/>
      <c r="M162" s="178"/>
      <c r="N162" s="178"/>
      <c r="O162" s="178"/>
      <c r="P162" s="178"/>
      <c r="Q162" s="178"/>
      <c r="R162" s="178"/>
      <c r="S162" s="178"/>
      <c r="T162" s="178"/>
      <c r="U162" s="178">
        <f>(Table1[[#This Row],[Invoice Date]]-Table1[[#This Row],[Month]])/7</f>
        <v>0</v>
      </c>
      <c r="V162" s="178"/>
      <c r="W162" s="178">
        <f t="shared" si="20"/>
        <v>0</v>
      </c>
      <c r="X162" s="178"/>
      <c r="Y162" s="178"/>
      <c r="Z162" s="178"/>
      <c r="AA162" s="178"/>
      <c r="AB162" s="178"/>
      <c r="AC162" s="178"/>
      <c r="AD162" s="193"/>
      <c r="AE162" s="193"/>
      <c r="AF162" s="178"/>
      <c r="AG162" s="178"/>
      <c r="AH162" s="179"/>
      <c r="AI162" s="193"/>
      <c r="AJ162" s="178"/>
      <c r="AK162" s="178"/>
      <c r="AL162" s="244"/>
      <c r="AM162" s="220"/>
      <c r="AN162" s="229"/>
      <c r="AO162" s="244"/>
      <c r="AP162" s="178"/>
      <c r="AQ162" s="178"/>
      <c r="AR162" s="178"/>
    </row>
    <row r="163" spans="1:44">
      <c r="A163" s="173"/>
      <c r="B163" s="174"/>
      <c r="C163" s="279"/>
      <c r="D163" s="174"/>
      <c r="E163" s="174"/>
      <c r="F163" s="174"/>
      <c r="G163" s="176"/>
      <c r="H163" s="177"/>
      <c r="I163" s="177"/>
      <c r="J163" s="177"/>
      <c r="K163" s="177"/>
      <c r="L163" s="178"/>
      <c r="M163" s="178"/>
      <c r="N163" s="178"/>
      <c r="O163" s="178"/>
      <c r="P163" s="178"/>
      <c r="Q163" s="178"/>
      <c r="R163" s="178"/>
      <c r="S163" s="178"/>
      <c r="T163" s="178"/>
      <c r="U163" s="178">
        <f>(Table1[[#This Row],[Invoice Date]]-Table1[[#This Row],[Month]])/7</f>
        <v>0</v>
      </c>
      <c r="V163" s="178"/>
      <c r="W163" s="178">
        <f t="shared" si="20"/>
        <v>0</v>
      </c>
      <c r="X163" s="178"/>
      <c r="Y163" s="178"/>
      <c r="Z163" s="178"/>
      <c r="AA163" s="178"/>
      <c r="AB163" s="178"/>
      <c r="AC163" s="178"/>
      <c r="AD163" s="193"/>
      <c r="AE163" s="193"/>
      <c r="AF163" s="178"/>
      <c r="AG163" s="178"/>
      <c r="AH163" s="179"/>
      <c r="AI163" s="193"/>
      <c r="AJ163" s="178"/>
      <c r="AK163" s="178"/>
      <c r="AL163" s="244"/>
      <c r="AM163" s="220"/>
      <c r="AN163" s="229"/>
      <c r="AO163" s="244"/>
      <c r="AP163" s="178"/>
      <c r="AQ163" s="178"/>
      <c r="AR163" s="178"/>
    </row>
    <row r="164" spans="1:44">
      <c r="A164" s="173"/>
      <c r="B164" s="174"/>
      <c r="C164" s="279"/>
      <c r="D164" s="174"/>
      <c r="E164" s="174"/>
      <c r="F164" s="174"/>
      <c r="G164" s="176"/>
      <c r="H164" s="177"/>
      <c r="I164" s="177"/>
      <c r="J164" s="177"/>
      <c r="K164" s="177"/>
      <c r="L164" s="178"/>
      <c r="M164" s="178"/>
      <c r="N164" s="178"/>
      <c r="O164" s="178"/>
      <c r="P164" s="178"/>
      <c r="Q164" s="178"/>
      <c r="R164" s="178"/>
      <c r="S164" s="178"/>
      <c r="T164" s="178"/>
      <c r="U164" s="178">
        <f>(Table1[[#This Row],[Invoice Date]]-Table1[[#This Row],[Month]])/7</f>
        <v>0</v>
      </c>
      <c r="V164" s="178"/>
      <c r="W164" s="178">
        <f t="shared" si="20"/>
        <v>0</v>
      </c>
      <c r="X164" s="178"/>
      <c r="Y164" s="178"/>
      <c r="Z164" s="178"/>
      <c r="AA164" s="178"/>
      <c r="AB164" s="178"/>
      <c r="AC164" s="178"/>
      <c r="AD164" s="193"/>
      <c r="AE164" s="193"/>
      <c r="AF164" s="178"/>
      <c r="AG164" s="178"/>
      <c r="AH164" s="179"/>
      <c r="AI164" s="193"/>
      <c r="AJ164" s="178"/>
      <c r="AK164" s="178"/>
      <c r="AL164" s="244"/>
      <c r="AM164" s="220"/>
      <c r="AN164" s="229"/>
      <c r="AO164" s="244"/>
      <c r="AP164" s="178"/>
      <c r="AQ164" s="178"/>
      <c r="AR164" s="178"/>
    </row>
    <row r="165" spans="1:44">
      <c r="A165" s="173"/>
      <c r="B165" s="174"/>
      <c r="C165" s="279"/>
      <c r="D165" s="174"/>
      <c r="E165" s="174"/>
      <c r="F165" s="174"/>
      <c r="G165" s="176"/>
      <c r="H165" s="177"/>
      <c r="I165" s="177"/>
      <c r="J165" s="177"/>
      <c r="K165" s="177"/>
      <c r="L165" s="178"/>
      <c r="M165" s="178"/>
      <c r="N165" s="178"/>
      <c r="O165" s="178"/>
      <c r="P165" s="178"/>
      <c r="Q165" s="178"/>
      <c r="R165" s="178"/>
      <c r="S165" s="178"/>
      <c r="T165" s="178"/>
      <c r="U165" s="178">
        <f>(Table1[[#This Row],[Invoice Date]]-Table1[[#This Row],[Month]])/7</f>
        <v>0</v>
      </c>
      <c r="V165" s="178"/>
      <c r="W165" s="178">
        <f t="shared" si="20"/>
        <v>0</v>
      </c>
      <c r="X165" s="178"/>
      <c r="Y165" s="178"/>
      <c r="Z165" s="178"/>
      <c r="AA165" s="178"/>
      <c r="AB165" s="178"/>
      <c r="AC165" s="178"/>
      <c r="AD165" s="193"/>
      <c r="AE165" s="193"/>
      <c r="AF165" s="178"/>
      <c r="AG165" s="178"/>
      <c r="AH165" s="179"/>
      <c r="AI165" s="193"/>
      <c r="AJ165" s="178"/>
      <c r="AK165" s="178"/>
      <c r="AL165" s="244"/>
      <c r="AM165" s="220"/>
      <c r="AN165" s="229"/>
      <c r="AO165" s="244"/>
      <c r="AP165" s="178"/>
      <c r="AQ165" s="178"/>
      <c r="AR165" s="178"/>
    </row>
    <row r="166" spans="1:44">
      <c r="A166" s="203"/>
      <c r="B166" s="204"/>
      <c r="C166" s="281"/>
      <c r="D166" s="204"/>
      <c r="E166" s="204"/>
      <c r="F166" s="204"/>
      <c r="G166" s="206"/>
      <c r="H166" s="207"/>
      <c r="I166" s="207"/>
      <c r="J166" s="207"/>
      <c r="K166" s="207"/>
      <c r="L166" s="208"/>
      <c r="M166" s="208"/>
      <c r="N166" s="208"/>
      <c r="O166" s="208"/>
      <c r="P166" s="208"/>
      <c r="Q166" s="208"/>
      <c r="R166" s="208"/>
      <c r="S166" s="208"/>
      <c r="T166" s="208"/>
      <c r="U166" s="208">
        <f>(Table1[[#This Row],[Invoice Date]]-Table1[[#This Row],[Month]])/7</f>
        <v>0</v>
      </c>
      <c r="V166" s="208"/>
      <c r="W166" s="208">
        <f t="shared" si="20"/>
        <v>0</v>
      </c>
      <c r="X166" s="208"/>
      <c r="Y166" s="208"/>
      <c r="Z166" s="208"/>
      <c r="AA166" s="208"/>
      <c r="AB166" s="208"/>
      <c r="AC166" s="208"/>
      <c r="AD166" s="209"/>
      <c r="AE166" s="209"/>
      <c r="AF166" s="208"/>
      <c r="AG166" s="208"/>
      <c r="AH166" s="226"/>
      <c r="AI166" s="209"/>
      <c r="AJ166" s="208"/>
      <c r="AK166" s="208"/>
      <c r="AL166" s="261"/>
      <c r="AM166" s="221"/>
      <c r="AN166" s="230"/>
      <c r="AO166" s="261"/>
      <c r="AP166" s="208"/>
      <c r="AQ166" s="208"/>
      <c r="AR166" s="208"/>
    </row>
    <row r="167" spans="1:44">
      <c r="A167" s="203"/>
      <c r="B167" s="204"/>
      <c r="C167" s="281"/>
      <c r="D167" s="204"/>
      <c r="E167" s="204"/>
      <c r="F167" s="204"/>
      <c r="G167" s="206"/>
      <c r="H167" s="207"/>
      <c r="I167" s="207"/>
      <c r="J167" s="207"/>
      <c r="K167" s="207"/>
      <c r="L167" s="286"/>
      <c r="M167" s="286"/>
      <c r="N167" s="286"/>
      <c r="O167" s="286"/>
      <c r="P167" s="286"/>
      <c r="Q167" s="286"/>
      <c r="R167" s="286"/>
      <c r="S167" s="286"/>
      <c r="T167" s="286"/>
      <c r="U167" s="283"/>
      <c r="V167" s="286"/>
      <c r="W167" s="285"/>
      <c r="X167" s="286"/>
      <c r="Y167" s="286"/>
      <c r="Z167" s="286"/>
      <c r="AA167" s="286"/>
      <c r="AB167" s="286"/>
      <c r="AC167" s="286"/>
      <c r="AD167" s="283"/>
      <c r="AE167" s="283"/>
      <c r="AF167" s="286"/>
      <c r="AG167" s="207"/>
      <c r="AH167" s="287"/>
      <c r="AI167" s="283"/>
      <c r="AJ167" s="207"/>
      <c r="AK167" s="286"/>
      <c r="AL167" s="284"/>
      <c r="AM167" s="285"/>
      <c r="AN167" s="207"/>
      <c r="AO167" s="284"/>
      <c r="AP167" s="207"/>
      <c r="AQ167" s="207"/>
      <c r="AR167" s="207"/>
    </row>
  </sheetData>
  <autoFilter ref="P172" xr:uid="{9AF9E6EE-AF5F-4E14-A118-029A0ACF8B5F}"/>
  <mergeCells count="4">
    <mergeCell ref="AD2:AF2"/>
    <mergeCell ref="U2:W2"/>
    <mergeCell ref="X2:Z2"/>
    <mergeCell ref="AA2:AC2"/>
  </mergeCells>
  <phoneticPr fontId="30" type="noConversion"/>
  <conditionalFormatting sqref="Q1:Q1048576 R23:AF24">
    <cfRule type="cellIs" dxfId="155" priority="77" operator="equal">
      <formula>"NOT OK"</formula>
    </cfRule>
    <cfRule type="cellIs" dxfId="154" priority="78" operator="equal">
      <formula>"OK"</formula>
    </cfRule>
  </conditionalFormatting>
  <conditionalFormatting sqref="T1:T22 T25:T50 T52:T1048576">
    <cfRule type="cellIs" dxfId="153" priority="75" operator="equal">
      <formula>"Closed"</formula>
    </cfRule>
    <cfRule type="cellIs" dxfId="152" priority="76" operator="equal">
      <formula>"Open"</formula>
    </cfRule>
  </conditionalFormatting>
  <conditionalFormatting sqref="AJ1:AJ1048576 R51">
    <cfRule type="cellIs" dxfId="151" priority="2" operator="equal">
      <formula>"Pending"</formula>
    </cfRule>
    <cfRule type="cellIs" dxfId="150" priority="3" operator="equal">
      <formula>"Invoiced"</formula>
    </cfRule>
  </conditionalFormatting>
  <conditionalFormatting sqref="AP1:AP1048576 X51">
    <cfRule type="cellIs" dxfId="149" priority="4" operator="equal">
      <formula>"Paid"</formula>
    </cfRule>
    <cfRule type="cellIs" dxfId="148" priority="5" operator="equal">
      <formula>"Pending"</formula>
    </cfRule>
  </conditionalFormatting>
  <conditionalFormatting sqref="AQ46:AQ111 Y51:Z51 AQ112:AR1048576">
    <cfRule type="cellIs" dxfId="147" priority="1" operator="equal">
      <formula>"Past Due"</formula>
    </cfRule>
  </conditionalFormatting>
  <conditionalFormatting sqref="AQ1:AR3 AQ4:AQ5 AQ6:AR14 AQ15 AQ16:AR16 AQ17:AQ18 AQ19:AR27 AQ28:AQ41 AQ42:AR45">
    <cfRule type="cellIs" dxfId="146" priority="12" operator="equal">
      <formula>"Past Due"</formula>
    </cfRule>
  </conditionalFormatting>
  <dataValidations count="6">
    <dataValidation type="list" allowBlank="1" showInputMessage="1" showErrorMessage="1" sqref="T1:T22 T25:T50 T52:T166 T168:T1048576" xr:uid="{D87A595D-27D7-4925-93FE-890D3244F191}">
      <formula1>"Open, Closed"</formula1>
    </dataValidation>
    <dataValidation type="list" allowBlank="1" showInputMessage="1" showErrorMessage="1" sqref="D12:D13 D1:D10 D15:D50 D52:D166 D168:D1048576" xr:uid="{C95DDC72-3406-4EF8-A0E0-59448BA44D9E}">
      <formula1>"Design, Debug, Install, Project, Razón Social,n/a"</formula1>
    </dataValidation>
    <dataValidation type="list" allowBlank="1" showInputMessage="1" showErrorMessage="1" sqref="B12:B13 B3:B10 B168:B1048576 B15:B166" xr:uid="{33592EF5-D3D6-4A14-98A4-31F442C70757}">
      <formula1>"ICT, FCT, FIX, IAT, SW, REPS"</formula1>
    </dataValidation>
    <dataValidation type="list" allowBlank="1" showInputMessage="1" showErrorMessage="1" sqref="X51 AP1:AP166 AP168:AP1048576" xr:uid="{1B4EA62D-2263-4F8B-AD48-F8A0F354251E}">
      <formula1>"Pending, Paid"</formula1>
    </dataValidation>
    <dataValidation type="list" allowBlank="1" showInputMessage="1" showErrorMessage="1" sqref="V51 AN1:AN166 AN168:AN1048576" xr:uid="{1CF613CC-0023-48D2-8BCE-D1B7C2AD0950}">
      <formula1>"0, 30, 45, 60, 90"</formula1>
    </dataValidation>
    <dataValidation type="list" allowBlank="1" showInputMessage="1" showErrorMessage="1" sqref="AG1:AG166 AG168:AG1048576" xr:uid="{59BA363B-0962-4DB9-AF5A-840480D254BC}">
      <formula1>"DP, DR, SAT, FAT,Delivery"</formula1>
    </dataValidation>
  </dataValidations>
  <pageMargins left="0.7" right="0.7" top="0.75" bottom="0.75" header="0.3" footer="0.3"/>
  <pageSetup orientation="portrait" r:id="rId1"/>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925B6-EA94-4769-8183-7BC250279423}">
  <sheetPr>
    <tabColor rgb="FF002060"/>
  </sheetPr>
  <dimension ref="B2:AC66"/>
  <sheetViews>
    <sheetView showGridLines="0" showRowColHeaders="0" zoomScale="85" zoomScaleNormal="85" workbookViewId="0">
      <selection activeCell="W5" sqref="W5"/>
    </sheetView>
  </sheetViews>
  <sheetFormatPr defaultColWidth="9.140625" defaultRowHeight="15"/>
  <cols>
    <col min="23" max="23" width="52.7109375" bestFit="1" customWidth="1"/>
    <col min="24" max="24" width="12.28515625" bestFit="1" customWidth="1"/>
    <col min="25" max="25" width="13" bestFit="1" customWidth="1"/>
    <col min="26" max="26" width="13.7109375" bestFit="1" customWidth="1"/>
    <col min="27" max="27" width="19.28515625" bestFit="1" customWidth="1"/>
    <col min="28" max="28" width="29.28515625" bestFit="1" customWidth="1"/>
    <col min="29" max="29" width="24.85546875" bestFit="1" customWidth="1"/>
  </cols>
  <sheetData>
    <row r="2" spans="2:29" s="78" customFormat="1" ht="73.150000000000006" customHeight="1">
      <c r="B2" s="29" t="s">
        <v>294</v>
      </c>
      <c r="C2" s="29"/>
      <c r="D2" s="29"/>
      <c r="E2" s="29"/>
      <c r="F2" s="29"/>
      <c r="G2" s="29"/>
      <c r="H2" s="29"/>
      <c r="I2" s="29"/>
      <c r="J2" s="29"/>
      <c r="K2" s="29"/>
      <c r="L2" s="29"/>
      <c r="M2" s="29"/>
      <c r="N2" s="29"/>
      <c r="O2" s="29"/>
      <c r="P2" s="29"/>
      <c r="Q2" s="29"/>
      <c r="R2" s="29"/>
      <c r="S2" s="29"/>
      <c r="T2" s="29"/>
      <c r="U2" s="29"/>
      <c r="V2" s="29"/>
      <c r="W2" s="29"/>
      <c r="X2" s="29"/>
      <c r="Y2" s="29"/>
      <c r="Z2" s="29"/>
      <c r="AA2" s="29"/>
      <c r="AB2" s="29"/>
      <c r="AC2" s="29"/>
    </row>
    <row r="3" spans="2:29" s="78" customFormat="1" ht="37.9" customHeight="1">
      <c r="B3" s="82"/>
      <c r="C3" s="82"/>
      <c r="D3" s="82"/>
      <c r="E3" s="82"/>
      <c r="F3" s="82"/>
      <c r="G3" s="82"/>
      <c r="H3" s="82"/>
      <c r="I3" s="82"/>
      <c r="J3" s="82"/>
      <c r="K3" s="82"/>
      <c r="L3" s="82"/>
      <c r="M3" s="82"/>
      <c r="N3" s="82"/>
      <c r="O3" s="82"/>
      <c r="P3" s="82"/>
      <c r="Q3" s="82"/>
      <c r="R3" s="82"/>
      <c r="S3" s="82"/>
      <c r="T3" s="82"/>
      <c r="U3" s="82"/>
      <c r="V3" s="82"/>
      <c r="W3" s="82"/>
      <c r="X3" s="82"/>
      <c r="Y3" s="82"/>
      <c r="Z3" s="82"/>
      <c r="AA3" s="82"/>
      <c r="AB3" s="82"/>
      <c r="AC3" s="82"/>
    </row>
    <row r="4" spans="2:29" ht="23.45" customHeight="1"/>
    <row r="5" spans="2:29" ht="19.5">
      <c r="W5" s="238" t="s">
        <v>295</v>
      </c>
      <c r="X5" s="79"/>
      <c r="Y5" s="238"/>
      <c r="Z5" s="238"/>
    </row>
    <row r="6" spans="2:29" ht="19.5">
      <c r="W6" s="79"/>
      <c r="X6" s="239" t="s">
        <v>93</v>
      </c>
      <c r="Y6" s="239" t="s">
        <v>53</v>
      </c>
      <c r="Z6" s="239" t="s">
        <v>296</v>
      </c>
    </row>
    <row r="7" spans="2:29" ht="19.5">
      <c r="W7" s="80" t="s">
        <v>297</v>
      </c>
      <c r="X7" s="134">
        <v>641410.02500000002</v>
      </c>
      <c r="Y7" s="134">
        <v>9715</v>
      </c>
      <c r="Z7" s="134">
        <v>651125.02500000002</v>
      </c>
    </row>
    <row r="8" spans="2:29" ht="19.5">
      <c r="W8" s="81" t="s">
        <v>298</v>
      </c>
      <c r="X8" s="134">
        <v>39747.270000000004</v>
      </c>
      <c r="Y8" s="134"/>
      <c r="Z8" s="134">
        <v>39747.270000000004</v>
      </c>
    </row>
    <row r="9" spans="2:29" ht="19.5">
      <c r="W9" s="132" t="s">
        <v>299</v>
      </c>
      <c r="X9" s="134">
        <v>39747.270000000004</v>
      </c>
      <c r="Y9" s="134"/>
      <c r="Z9" s="134">
        <v>39747.270000000004</v>
      </c>
    </row>
    <row r="10" spans="2:29" ht="19.5">
      <c r="W10" s="81" t="s">
        <v>300</v>
      </c>
      <c r="X10" s="134">
        <v>75847.535000000003</v>
      </c>
      <c r="Y10" s="134"/>
      <c r="Z10" s="134">
        <v>75847.535000000003</v>
      </c>
    </row>
    <row r="11" spans="2:29" ht="19.5">
      <c r="W11" s="145" t="s">
        <v>301</v>
      </c>
      <c r="X11" s="139">
        <v>65022.445</v>
      </c>
      <c r="Y11" s="139"/>
      <c r="Z11" s="139">
        <v>65022.445</v>
      </c>
    </row>
    <row r="12" spans="2:29" ht="19.5">
      <c r="W12" s="132" t="s">
        <v>302</v>
      </c>
      <c r="X12" s="134">
        <v>7052.09</v>
      </c>
      <c r="Y12" s="134"/>
      <c r="Z12" s="134">
        <v>7052.09</v>
      </c>
    </row>
    <row r="13" spans="2:29" ht="19.5">
      <c r="W13" s="132" t="s">
        <v>303</v>
      </c>
      <c r="X13" s="134">
        <v>3773</v>
      </c>
      <c r="Y13" s="134"/>
      <c r="Z13" s="134">
        <v>3773</v>
      </c>
    </row>
    <row r="14" spans="2:29" ht="19.5">
      <c r="W14" s="81" t="s">
        <v>304</v>
      </c>
      <c r="X14" s="134">
        <v>79407.350000000006</v>
      </c>
      <c r="Y14" s="134"/>
      <c r="Z14" s="134">
        <v>79407.350000000006</v>
      </c>
    </row>
    <row r="15" spans="2:29" ht="19.5">
      <c r="W15" s="132" t="s">
        <v>302</v>
      </c>
      <c r="X15" s="134">
        <v>7052.09</v>
      </c>
      <c r="Y15" s="134"/>
      <c r="Z15" s="134">
        <v>7052.09</v>
      </c>
    </row>
    <row r="16" spans="2:29" ht="19.5">
      <c r="W16" s="132" t="s">
        <v>305</v>
      </c>
      <c r="X16" s="134">
        <v>6147.91</v>
      </c>
      <c r="Y16" s="134"/>
      <c r="Z16" s="134">
        <v>6147.91</v>
      </c>
    </row>
    <row r="17" spans="23:26" ht="19.5">
      <c r="W17" s="132" t="s">
        <v>306</v>
      </c>
      <c r="X17" s="134">
        <v>66207.350000000006</v>
      </c>
      <c r="Y17" s="134"/>
      <c r="Z17" s="134">
        <v>66207.350000000006</v>
      </c>
    </row>
    <row r="18" spans="23:26" ht="19.5">
      <c r="W18" s="81" t="s">
        <v>307</v>
      </c>
      <c r="X18" s="134">
        <v>25890.78</v>
      </c>
      <c r="Y18" s="134"/>
      <c r="Z18" s="134">
        <v>25890.78</v>
      </c>
    </row>
    <row r="19" spans="23:26" ht="19.5">
      <c r="W19" s="132" t="s">
        <v>305</v>
      </c>
      <c r="X19" s="134">
        <v>1195.81</v>
      </c>
      <c r="Y19" s="134"/>
      <c r="Z19" s="134">
        <v>1195.81</v>
      </c>
    </row>
    <row r="20" spans="23:26" ht="19.5">
      <c r="W20" s="132" t="s">
        <v>303</v>
      </c>
      <c r="X20" s="134">
        <v>847</v>
      </c>
      <c r="Y20" s="134"/>
      <c r="Z20" s="134">
        <v>847</v>
      </c>
    </row>
    <row r="21" spans="23:26" ht="19.5">
      <c r="W21" s="132" t="s">
        <v>308</v>
      </c>
      <c r="X21" s="134">
        <v>2459</v>
      </c>
      <c r="Y21" s="134"/>
      <c r="Z21" s="134">
        <v>2459</v>
      </c>
    </row>
    <row r="22" spans="23:26" ht="19.5">
      <c r="W22" s="132" t="s">
        <v>309</v>
      </c>
      <c r="X22" s="134">
        <v>21388.97</v>
      </c>
      <c r="Y22" s="134"/>
      <c r="Z22" s="134">
        <v>21388.97</v>
      </c>
    </row>
    <row r="23" spans="23:26" ht="19.5">
      <c r="W23" s="81" t="s">
        <v>310</v>
      </c>
      <c r="X23" s="134">
        <v>87730.55</v>
      </c>
      <c r="Y23" s="134"/>
      <c r="Z23" s="134">
        <v>87730.55</v>
      </c>
    </row>
    <row r="24" spans="23:26" ht="19.5">
      <c r="W24" s="132" t="s">
        <v>299</v>
      </c>
      <c r="X24" s="134">
        <v>32485.32</v>
      </c>
      <c r="Y24" s="134"/>
      <c r="Z24" s="134">
        <v>32485.32</v>
      </c>
    </row>
    <row r="25" spans="23:26" ht="19.5">
      <c r="W25" s="132" t="s">
        <v>311</v>
      </c>
      <c r="X25" s="134">
        <v>55245.23</v>
      </c>
      <c r="Y25" s="134"/>
      <c r="Z25" s="134">
        <v>55245.23</v>
      </c>
    </row>
    <row r="26" spans="23:26" ht="19.5">
      <c r="W26" s="81" t="s">
        <v>312</v>
      </c>
      <c r="X26" s="134">
        <v>83070.755000000005</v>
      </c>
      <c r="Y26" s="134"/>
      <c r="Z26" s="134">
        <v>83070.755000000005</v>
      </c>
    </row>
    <row r="27" spans="23:26" ht="19.5">
      <c r="W27" s="145" t="s">
        <v>301</v>
      </c>
      <c r="X27" s="139">
        <v>7032.9650000000001</v>
      </c>
      <c r="Y27" s="139"/>
      <c r="Z27" s="139">
        <v>7032.9650000000001</v>
      </c>
    </row>
    <row r="28" spans="23:26" ht="19.5">
      <c r="W28" s="132" t="s">
        <v>305</v>
      </c>
      <c r="X28" s="134">
        <v>17135.39</v>
      </c>
      <c r="Y28" s="134"/>
      <c r="Z28" s="134">
        <v>17135.39</v>
      </c>
    </row>
    <row r="29" spans="23:26" ht="19.5">
      <c r="W29" s="132" t="s">
        <v>299</v>
      </c>
      <c r="X29" s="134">
        <v>27135.58</v>
      </c>
      <c r="Y29" s="134"/>
      <c r="Z29" s="134">
        <v>27135.58</v>
      </c>
    </row>
    <row r="30" spans="23:26" ht="19.5">
      <c r="W30" s="132" t="s">
        <v>313</v>
      </c>
      <c r="X30" s="134">
        <v>2500</v>
      </c>
      <c r="Y30" s="134"/>
      <c r="Z30" s="134">
        <v>2500</v>
      </c>
    </row>
    <row r="31" spans="23:26" ht="19.5">
      <c r="W31" s="132" t="s">
        <v>314</v>
      </c>
      <c r="X31" s="134">
        <v>29266.82</v>
      </c>
      <c r="Y31" s="134"/>
      <c r="Z31" s="134">
        <v>29266.82</v>
      </c>
    </row>
    <row r="32" spans="23:26" ht="19.5">
      <c r="W32" s="81" t="s">
        <v>315</v>
      </c>
      <c r="X32" s="134">
        <v>139119.36714300702</v>
      </c>
      <c r="Y32" s="134"/>
      <c r="Z32" s="134">
        <v>139119.36714300702</v>
      </c>
    </row>
    <row r="33" spans="23:26" ht="19.5">
      <c r="W33" s="132" t="s">
        <v>316</v>
      </c>
      <c r="X33" s="134">
        <v>1656</v>
      </c>
      <c r="Y33" s="134"/>
      <c r="Z33" s="134">
        <v>1656</v>
      </c>
    </row>
    <row r="34" spans="23:26" ht="19.5">
      <c r="W34" s="132" t="s">
        <v>299</v>
      </c>
      <c r="X34" s="134">
        <v>0.19214300702671741</v>
      </c>
      <c r="Y34" s="134"/>
      <c r="Z34" s="134">
        <v>0.19214300702671741</v>
      </c>
    </row>
    <row r="35" spans="23:26" ht="19.5">
      <c r="W35" s="132" t="s">
        <v>317</v>
      </c>
      <c r="X35" s="134">
        <v>47048.77</v>
      </c>
      <c r="Y35" s="134"/>
      <c r="Z35" s="134">
        <v>47048.77</v>
      </c>
    </row>
    <row r="36" spans="23:26" ht="19.5">
      <c r="W36" s="132" t="s">
        <v>318</v>
      </c>
      <c r="X36" s="134">
        <v>16693.829999999998</v>
      </c>
      <c r="Y36" s="134"/>
      <c r="Z36" s="134">
        <v>16693.829999999998</v>
      </c>
    </row>
    <row r="37" spans="23:26" ht="19.5">
      <c r="W37" s="132" t="s">
        <v>314</v>
      </c>
      <c r="X37" s="134">
        <v>22546.095000000001</v>
      </c>
      <c r="Y37" s="134"/>
      <c r="Z37" s="134">
        <v>22546.095000000001</v>
      </c>
    </row>
    <row r="38" spans="23:26" ht="19.5">
      <c r="W38" s="132" t="s">
        <v>319</v>
      </c>
      <c r="X38" s="134">
        <v>28419.21</v>
      </c>
      <c r="Y38" s="134"/>
      <c r="Z38" s="134">
        <v>28419.21</v>
      </c>
    </row>
    <row r="39" spans="23:26" ht="19.5">
      <c r="W39" s="132" t="s">
        <v>320</v>
      </c>
      <c r="X39" s="134">
        <v>13007.8</v>
      </c>
      <c r="Y39" s="134"/>
      <c r="Z39" s="134">
        <v>13007.8</v>
      </c>
    </row>
    <row r="40" spans="23:26" ht="19.5">
      <c r="W40" s="132" t="s">
        <v>321</v>
      </c>
      <c r="X40" s="134">
        <v>9747.4699999999993</v>
      </c>
      <c r="Y40" s="134"/>
      <c r="Z40" s="134">
        <v>9747.4699999999993</v>
      </c>
    </row>
    <row r="41" spans="23:26" ht="19.5">
      <c r="W41" s="81" t="s">
        <v>322</v>
      </c>
      <c r="X41" s="134">
        <v>67442.177856992974</v>
      </c>
      <c r="Y41" s="134"/>
      <c r="Z41" s="134">
        <v>67442.177856992974</v>
      </c>
    </row>
    <row r="42" spans="23:26" ht="19.5">
      <c r="W42" s="132" t="s">
        <v>299</v>
      </c>
      <c r="X42" s="134">
        <v>17632.507856992976</v>
      </c>
      <c r="Y42" s="134"/>
      <c r="Z42" s="134">
        <v>17632.507856992976</v>
      </c>
    </row>
    <row r="43" spans="23:26" ht="19.5">
      <c r="W43" s="132" t="s">
        <v>323</v>
      </c>
      <c r="X43" s="134">
        <v>21450.35</v>
      </c>
      <c r="Y43" s="134"/>
      <c r="Z43" s="134">
        <v>21450.35</v>
      </c>
    </row>
    <row r="44" spans="23:26" ht="19.5">
      <c r="W44" s="132" t="s">
        <v>324</v>
      </c>
      <c r="X44" s="134">
        <v>28359.32</v>
      </c>
      <c r="Y44" s="134"/>
      <c r="Z44" s="134">
        <v>28359.32</v>
      </c>
    </row>
    <row r="45" spans="23:26" ht="19.5">
      <c r="W45" s="133" t="s">
        <v>325</v>
      </c>
      <c r="X45" s="135">
        <v>1781.97</v>
      </c>
      <c r="Y45" s="135"/>
      <c r="Z45" s="135">
        <v>1781.97</v>
      </c>
    </row>
    <row r="46" spans="23:26" ht="19.5">
      <c r="W46" s="132" t="s">
        <v>326</v>
      </c>
      <c r="X46" s="134">
        <v>1666.8600000000001</v>
      </c>
      <c r="Y46" s="134"/>
      <c r="Z46" s="134">
        <v>1666.8600000000001</v>
      </c>
    </row>
    <row r="47" spans="23:26" ht="19.5">
      <c r="W47" s="132" t="s">
        <v>327</v>
      </c>
      <c r="X47" s="134">
        <v>115.11</v>
      </c>
      <c r="Y47" s="134"/>
      <c r="Z47" s="134">
        <v>115.11</v>
      </c>
    </row>
    <row r="48" spans="23:26" ht="19.5">
      <c r="W48" s="133" t="s">
        <v>328</v>
      </c>
      <c r="X48" s="135">
        <v>41372.269999999997</v>
      </c>
      <c r="Y48" s="135">
        <v>9715</v>
      </c>
      <c r="Z48" s="135">
        <v>51087.27</v>
      </c>
    </row>
    <row r="49" spans="19:27" ht="19.5">
      <c r="S49" s="291" t="s">
        <v>329</v>
      </c>
      <c r="T49" s="291"/>
      <c r="U49" s="291"/>
      <c r="V49" s="291"/>
      <c r="W49" s="144" t="s">
        <v>330</v>
      </c>
      <c r="X49" s="138"/>
      <c r="Y49" s="138">
        <v>9715</v>
      </c>
      <c r="Z49" s="138">
        <v>9715</v>
      </c>
    </row>
    <row r="50" spans="19:27" ht="19.5">
      <c r="W50" s="132" t="s">
        <v>313</v>
      </c>
      <c r="X50" s="134">
        <v>2420</v>
      </c>
      <c r="Y50" s="134"/>
      <c r="Z50" s="134">
        <v>2420</v>
      </c>
    </row>
    <row r="51" spans="19:27" ht="19.5">
      <c r="W51" s="132" t="s">
        <v>318</v>
      </c>
      <c r="X51" s="134">
        <v>38952.269999999997</v>
      </c>
      <c r="Y51" s="134"/>
      <c r="Z51" s="134">
        <v>38952.269999999997</v>
      </c>
    </row>
    <row r="52" spans="19:27" ht="19.5">
      <c r="W52" s="80" t="s">
        <v>331</v>
      </c>
      <c r="X52" s="134"/>
      <c r="Y52" s="134">
        <v>503954.35</v>
      </c>
      <c r="Z52" s="134">
        <v>503954.35</v>
      </c>
    </row>
    <row r="53" spans="19:27" ht="19.5">
      <c r="W53" s="133" t="s">
        <v>298</v>
      </c>
      <c r="X53" s="135"/>
      <c r="Y53" s="135">
        <v>262919.03000000003</v>
      </c>
      <c r="Z53" s="135">
        <v>262919.03000000003</v>
      </c>
    </row>
    <row r="54" spans="19:27" ht="19.5">
      <c r="U54" s="151" t="s">
        <v>332</v>
      </c>
      <c r="V54" s="151"/>
      <c r="W54" s="145" t="s">
        <v>301</v>
      </c>
      <c r="X54" s="139"/>
      <c r="Y54" s="139">
        <v>72325.41</v>
      </c>
      <c r="Z54" s="139">
        <v>72325.41</v>
      </c>
    </row>
    <row r="55" spans="19:27" ht="19.5">
      <c r="T55" t="s">
        <v>108</v>
      </c>
      <c r="U55" s="146" t="s">
        <v>333</v>
      </c>
      <c r="V55" s="146"/>
      <c r="W55" s="147" t="s">
        <v>334</v>
      </c>
      <c r="X55" s="140"/>
      <c r="Y55" s="140">
        <v>48821.75</v>
      </c>
      <c r="Z55" s="140">
        <v>48821.75</v>
      </c>
    </row>
    <row r="56" spans="19:27" ht="19.5">
      <c r="U56" s="148" t="s">
        <v>335</v>
      </c>
      <c r="V56" s="149"/>
      <c r="W56" s="142" t="s">
        <v>336</v>
      </c>
      <c r="X56" s="143"/>
      <c r="Y56" s="143">
        <v>77666.41</v>
      </c>
      <c r="Z56" s="143">
        <v>77666.41</v>
      </c>
    </row>
    <row r="57" spans="19:27" ht="19.5">
      <c r="T57" t="s">
        <v>137</v>
      </c>
      <c r="U57" s="146" t="s">
        <v>333</v>
      </c>
      <c r="V57" s="146"/>
      <c r="W57" s="147" t="s">
        <v>337</v>
      </c>
      <c r="X57" s="140"/>
      <c r="Y57" s="140">
        <v>36197.14</v>
      </c>
      <c r="Z57" s="140">
        <v>36197.14</v>
      </c>
    </row>
    <row r="58" spans="19:27" ht="19.5">
      <c r="T58" t="s">
        <v>338</v>
      </c>
      <c r="U58" s="146" t="s">
        <v>333</v>
      </c>
      <c r="V58" s="146"/>
      <c r="W58" s="147" t="s">
        <v>339</v>
      </c>
      <c r="X58" s="140"/>
      <c r="Y58" s="140">
        <v>27908.32</v>
      </c>
      <c r="Z58" s="140">
        <v>27908.32</v>
      </c>
      <c r="AA58" s="152" t="s">
        <v>340</v>
      </c>
    </row>
    <row r="59" spans="19:27" ht="19.5">
      <c r="W59" s="133" t="s">
        <v>341</v>
      </c>
      <c r="X59" s="135"/>
      <c r="Y59" s="135">
        <v>202070.45</v>
      </c>
      <c r="Z59" s="135">
        <v>202070.45</v>
      </c>
    </row>
    <row r="60" spans="19:27" ht="19.5">
      <c r="T60" t="s">
        <v>342</v>
      </c>
      <c r="U60" s="150" t="s">
        <v>343</v>
      </c>
      <c r="V60" s="150"/>
      <c r="W60" s="144" t="s">
        <v>344</v>
      </c>
      <c r="X60" s="138"/>
      <c r="Y60" s="138">
        <v>121520.72</v>
      </c>
      <c r="Z60" s="138">
        <v>121520.72</v>
      </c>
      <c r="AA60" t="s">
        <v>345</v>
      </c>
    </row>
    <row r="61" spans="19:27" ht="19.5">
      <c r="T61" t="s">
        <v>108</v>
      </c>
      <c r="U61" s="146" t="s">
        <v>333</v>
      </c>
      <c r="V61" s="146"/>
      <c r="W61" s="147" t="s">
        <v>346</v>
      </c>
      <c r="X61" s="140"/>
      <c r="Y61" s="140">
        <v>14569.68</v>
      </c>
      <c r="Z61" s="140">
        <v>14569.68</v>
      </c>
    </row>
    <row r="62" spans="19:27" ht="19.5">
      <c r="T62" t="s">
        <v>108</v>
      </c>
      <c r="U62" s="146" t="s">
        <v>333</v>
      </c>
      <c r="V62" s="146"/>
      <c r="W62" s="147" t="s">
        <v>347</v>
      </c>
      <c r="X62" s="140"/>
      <c r="Y62" s="140">
        <v>24342.159999999996</v>
      </c>
      <c r="Z62" s="140">
        <v>24342.159999999996</v>
      </c>
    </row>
    <row r="63" spans="19:27" ht="19.5">
      <c r="T63" t="s">
        <v>108</v>
      </c>
      <c r="U63" s="146" t="s">
        <v>333</v>
      </c>
      <c r="V63" s="146"/>
      <c r="W63" s="147" t="s">
        <v>348</v>
      </c>
      <c r="X63" s="140"/>
      <c r="Y63" s="140">
        <v>41637.89</v>
      </c>
      <c r="Z63" s="140">
        <v>41637.89</v>
      </c>
    </row>
    <row r="64" spans="19:27" ht="19.5">
      <c r="W64" s="81" t="s">
        <v>300</v>
      </c>
      <c r="X64" s="134"/>
      <c r="Y64" s="134">
        <v>38964.870000000003</v>
      </c>
      <c r="Z64" s="134">
        <v>38964.870000000003</v>
      </c>
    </row>
    <row r="65" spans="20:26" ht="19.5">
      <c r="T65" t="s">
        <v>108</v>
      </c>
      <c r="U65" s="151" t="s">
        <v>332</v>
      </c>
      <c r="V65" s="151"/>
      <c r="W65" s="145" t="s">
        <v>349</v>
      </c>
      <c r="X65" s="139"/>
      <c r="Y65" s="139">
        <v>38964.870000000003</v>
      </c>
      <c r="Z65" s="139">
        <v>38964.870000000003</v>
      </c>
    </row>
    <row r="66" spans="20:26" ht="19.5">
      <c r="W66" s="80" t="s">
        <v>296</v>
      </c>
      <c r="X66" s="134">
        <v>641410.02500000002</v>
      </c>
      <c r="Y66" s="134">
        <v>513669.35</v>
      </c>
      <c r="Z66" s="134">
        <v>1155079.375</v>
      </c>
    </row>
  </sheetData>
  <mergeCells count="1">
    <mergeCell ref="S49:V49"/>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6F301-C3F7-45E9-8892-20913B6149C2}">
  <sheetPr>
    <tabColor rgb="FF002060"/>
  </sheetPr>
  <dimension ref="H9:L37"/>
  <sheetViews>
    <sheetView showGridLines="0" workbookViewId="0">
      <selection activeCell="J19" sqref="J19"/>
    </sheetView>
  </sheetViews>
  <sheetFormatPr defaultColWidth="9.140625" defaultRowHeight="15"/>
  <cols>
    <col min="8" max="8" width="29.140625" bestFit="1" customWidth="1"/>
    <col min="9" max="9" width="10.5703125" customWidth="1"/>
    <col min="10" max="10" width="12.28515625" bestFit="1" customWidth="1"/>
    <col min="11" max="11" width="11.7109375" bestFit="1" customWidth="1"/>
  </cols>
  <sheetData>
    <row r="9" spans="8:11" s="153" customFormat="1">
      <c r="H9" s="153" t="s">
        <v>350</v>
      </c>
      <c r="I9" s="153" t="s">
        <v>351</v>
      </c>
      <c r="J9" s="165">
        <v>13250</v>
      </c>
      <c r="K9" s="155">
        <v>45321</v>
      </c>
    </row>
    <row r="10" spans="8:11" s="153" customFormat="1" ht="21" customHeight="1">
      <c r="H10" s="154" t="s">
        <v>352</v>
      </c>
      <c r="I10" s="153" t="s">
        <v>353</v>
      </c>
      <c r="J10" s="165">
        <v>650</v>
      </c>
      <c r="K10" s="155">
        <v>45321</v>
      </c>
    </row>
    <row r="11" spans="8:11" s="153" customFormat="1">
      <c r="H11" s="153" t="s">
        <v>354</v>
      </c>
      <c r="I11" s="153" t="s">
        <v>355</v>
      </c>
      <c r="J11" s="165">
        <v>426.5</v>
      </c>
      <c r="K11" s="155">
        <v>45321</v>
      </c>
    </row>
    <row r="12" spans="8:11" s="153" customFormat="1">
      <c r="H12" s="167" t="s">
        <v>356</v>
      </c>
      <c r="I12" s="167" t="s">
        <v>357</v>
      </c>
      <c r="J12" s="168">
        <v>66077</v>
      </c>
      <c r="K12" s="169">
        <v>45406</v>
      </c>
    </row>
    <row r="13" spans="8:11" s="153" customFormat="1">
      <c r="H13" s="154" t="s">
        <v>358</v>
      </c>
      <c r="I13" s="153" t="s">
        <v>353</v>
      </c>
      <c r="J13" s="166">
        <v>0</v>
      </c>
      <c r="K13" s="155">
        <v>45352</v>
      </c>
    </row>
    <row r="14" spans="8:11" s="153" customFormat="1">
      <c r="H14" s="154" t="s">
        <v>359</v>
      </c>
      <c r="I14" s="153" t="s">
        <v>360</v>
      </c>
      <c r="J14" s="165">
        <v>1000</v>
      </c>
      <c r="K14" s="155">
        <v>45321</v>
      </c>
    </row>
    <row r="15" spans="8:11" s="153" customFormat="1">
      <c r="H15" s="153" t="s">
        <v>361</v>
      </c>
      <c r="I15" s="153" t="s">
        <v>362</v>
      </c>
      <c r="J15" s="165">
        <v>2000</v>
      </c>
      <c r="K15" s="155">
        <v>45351</v>
      </c>
    </row>
    <row r="16" spans="8:11">
      <c r="H16" s="167" t="s">
        <v>363</v>
      </c>
      <c r="I16" s="167" t="s">
        <v>353</v>
      </c>
      <c r="J16" s="168">
        <v>1700</v>
      </c>
      <c r="K16" s="169">
        <v>45406</v>
      </c>
    </row>
    <row r="17" spans="8:12">
      <c r="H17" s="153" t="s">
        <v>364</v>
      </c>
      <c r="I17" s="153" t="s">
        <v>365</v>
      </c>
      <c r="J17" s="163">
        <v>24427.15</v>
      </c>
      <c r="K17" s="155">
        <v>45321</v>
      </c>
    </row>
    <row r="18" spans="8:12">
      <c r="H18" s="153" t="s">
        <v>366</v>
      </c>
      <c r="I18" s="153" t="s">
        <v>367</v>
      </c>
      <c r="J18" s="165">
        <v>650</v>
      </c>
      <c r="K18" s="155">
        <v>45351</v>
      </c>
    </row>
    <row r="19" spans="8:12">
      <c r="H19" s="153" t="s">
        <v>368</v>
      </c>
      <c r="I19" s="153" t="s">
        <v>353</v>
      </c>
      <c r="J19" s="165">
        <v>650</v>
      </c>
      <c r="K19" s="155">
        <v>45351</v>
      </c>
    </row>
    <row r="20" spans="8:12">
      <c r="H20" s="153" t="s">
        <v>369</v>
      </c>
      <c r="I20" s="153" t="s">
        <v>365</v>
      </c>
      <c r="J20" s="163">
        <v>12573.5</v>
      </c>
      <c r="K20" s="155">
        <v>45351</v>
      </c>
    </row>
    <row r="21" spans="8:12">
      <c r="H21" s="153" t="s">
        <v>370</v>
      </c>
      <c r="I21" s="153" t="s">
        <v>367</v>
      </c>
      <c r="J21" s="163">
        <v>800</v>
      </c>
      <c r="K21" s="155">
        <v>45351</v>
      </c>
    </row>
    <row r="22" spans="8:12">
      <c r="H22" s="153" t="s">
        <v>371</v>
      </c>
      <c r="I22" s="153" t="s">
        <v>353</v>
      </c>
      <c r="J22" s="165">
        <v>650</v>
      </c>
      <c r="K22" s="155">
        <v>45351</v>
      </c>
    </row>
    <row r="23" spans="8:12">
      <c r="H23" s="153" t="s">
        <v>372</v>
      </c>
      <c r="I23" s="153" t="s">
        <v>373</v>
      </c>
      <c r="J23" s="163">
        <v>8600</v>
      </c>
      <c r="K23" s="155">
        <v>45351</v>
      </c>
    </row>
    <row r="24" spans="8:12">
      <c r="H24" s="153" t="s">
        <v>374</v>
      </c>
      <c r="I24" s="153" t="s">
        <v>375</v>
      </c>
      <c r="J24" s="163">
        <v>4854.3</v>
      </c>
      <c r="K24" s="155">
        <v>45321</v>
      </c>
    </row>
    <row r="25" spans="8:12">
      <c r="H25" s="170" t="s">
        <v>376</v>
      </c>
      <c r="I25" s="170" t="s">
        <v>367</v>
      </c>
      <c r="J25" s="171">
        <v>1698.83</v>
      </c>
      <c r="K25" s="172">
        <v>45283</v>
      </c>
    </row>
    <row r="26" spans="8:12">
      <c r="J26" s="12">
        <f>SUM(J9:J25)</f>
        <v>140007.27999999997</v>
      </c>
    </row>
    <row r="29" spans="8:12" ht="15.75" thickBot="1">
      <c r="J29" s="292" t="s">
        <v>3</v>
      </c>
      <c r="K29" s="292"/>
    </row>
    <row r="30" spans="8:12" ht="25.5">
      <c r="H30" s="156" t="s">
        <v>6</v>
      </c>
      <c r="I30" s="157" t="s">
        <v>7</v>
      </c>
      <c r="J30" s="157" t="s">
        <v>4</v>
      </c>
      <c r="K30" s="161" t="s">
        <v>377</v>
      </c>
    </row>
    <row r="31" spans="8:12" ht="25.5">
      <c r="H31" s="94" t="s">
        <v>301</v>
      </c>
      <c r="I31" s="95" t="s">
        <v>240</v>
      </c>
      <c r="J31" s="93" t="s">
        <v>378</v>
      </c>
      <c r="K31" s="97">
        <f>125355.76*0.5</f>
        <v>62677.88</v>
      </c>
      <c r="L31" s="164">
        <v>45352</v>
      </c>
    </row>
    <row r="32" spans="8:12" ht="25.5">
      <c r="H32" s="94" t="s">
        <v>301</v>
      </c>
      <c r="I32" s="96" t="s">
        <v>240</v>
      </c>
      <c r="J32" s="93" t="s">
        <v>379</v>
      </c>
      <c r="K32" s="96">
        <f>4400*0.5</f>
        <v>2200</v>
      </c>
      <c r="L32" s="164">
        <v>45352</v>
      </c>
    </row>
    <row r="33" spans="8:12" ht="25.5">
      <c r="H33" s="94" t="s">
        <v>330</v>
      </c>
      <c r="I33" s="95" t="s">
        <v>248</v>
      </c>
      <c r="J33" s="93" t="s">
        <v>380</v>
      </c>
      <c r="K33" s="96">
        <v>9229.25</v>
      </c>
      <c r="L33" s="164">
        <v>45351</v>
      </c>
    </row>
    <row r="34" spans="8:12" ht="25.5">
      <c r="H34" s="94" t="s">
        <v>318</v>
      </c>
      <c r="I34" s="96" t="s">
        <v>381</v>
      </c>
      <c r="J34" s="93" t="s">
        <v>382</v>
      </c>
      <c r="K34" s="96">
        <v>55646.1</v>
      </c>
      <c r="L34" s="164">
        <v>45321</v>
      </c>
    </row>
    <row r="35" spans="8:12" ht="25.5">
      <c r="H35" s="94" t="s">
        <v>349</v>
      </c>
      <c r="I35" s="96" t="s">
        <v>108</v>
      </c>
      <c r="J35" s="93" t="s">
        <v>383</v>
      </c>
      <c r="K35" s="96">
        <v>33882.49</v>
      </c>
      <c r="L35" s="164">
        <v>45436</v>
      </c>
    </row>
    <row r="36" spans="8:12" ht="25.5">
      <c r="H36" s="94" t="s">
        <v>346</v>
      </c>
      <c r="I36" s="95" t="s">
        <v>108</v>
      </c>
      <c r="J36" s="93" t="s">
        <v>384</v>
      </c>
      <c r="K36" s="96">
        <v>12669.28</v>
      </c>
      <c r="L36" s="164">
        <v>45352</v>
      </c>
    </row>
    <row r="37" spans="8:12" ht="26.25" thickBot="1">
      <c r="H37" s="158" t="s">
        <v>348</v>
      </c>
      <c r="I37" s="159" t="s">
        <v>108</v>
      </c>
      <c r="J37" s="160" t="s">
        <v>385</v>
      </c>
      <c r="K37" s="162">
        <v>36206.86</v>
      </c>
      <c r="L37" s="164">
        <v>45406</v>
      </c>
    </row>
  </sheetData>
  <mergeCells count="1">
    <mergeCell ref="J29:K2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EBB28-E71C-4788-A981-A396D58DF143}">
  <dimension ref="B3:E17"/>
  <sheetViews>
    <sheetView showGridLines="0" workbookViewId="0">
      <selection activeCell="I33" sqref="I33"/>
    </sheetView>
  </sheetViews>
  <sheetFormatPr defaultColWidth="9.140625" defaultRowHeight="15"/>
  <cols>
    <col min="4" max="5" width="15.28515625" bestFit="1" customWidth="1"/>
  </cols>
  <sheetData>
    <row r="3" spans="2:5" ht="15.75" thickBot="1"/>
    <row r="4" spans="2:5" ht="16.5" thickBot="1">
      <c r="B4" s="13" t="s">
        <v>386</v>
      </c>
      <c r="C4" s="14" t="s">
        <v>0</v>
      </c>
      <c r="D4" s="14" t="s">
        <v>387</v>
      </c>
      <c r="E4" s="14" t="s">
        <v>388</v>
      </c>
    </row>
    <row r="5" spans="2:5">
      <c r="B5" s="293" t="s">
        <v>389</v>
      </c>
      <c r="C5" s="15" t="s">
        <v>298</v>
      </c>
      <c r="D5" s="21">
        <f>3782400*0.1/3</f>
        <v>126080</v>
      </c>
      <c r="E5" s="21">
        <f t="shared" ref="E5:E7" si="0">4728000*0.1/3</f>
        <v>157600</v>
      </c>
    </row>
    <row r="6" spans="2:5">
      <c r="B6" s="294"/>
      <c r="C6" s="16" t="s">
        <v>341</v>
      </c>
      <c r="D6" s="21">
        <f t="shared" ref="D6:D7" si="1">3782400*0.1/3</f>
        <v>126080</v>
      </c>
      <c r="E6" s="21">
        <f t="shared" si="0"/>
        <v>157600</v>
      </c>
    </row>
    <row r="7" spans="2:5" ht="15.75" thickBot="1">
      <c r="B7" s="294"/>
      <c r="C7" s="17" t="s">
        <v>300</v>
      </c>
      <c r="D7" s="21">
        <f t="shared" si="1"/>
        <v>126080</v>
      </c>
      <c r="E7" s="21">
        <f t="shared" si="0"/>
        <v>157600</v>
      </c>
    </row>
    <row r="8" spans="2:5" ht="15.75" thickTop="1">
      <c r="B8" s="295" t="s">
        <v>390</v>
      </c>
      <c r="C8" s="18" t="s">
        <v>391</v>
      </c>
      <c r="D8" s="21">
        <f>3782400*0.17/3</f>
        <v>214336</v>
      </c>
      <c r="E8" s="21">
        <f>4728000*0.17/3</f>
        <v>267920</v>
      </c>
    </row>
    <row r="9" spans="2:5">
      <c r="B9" s="294"/>
      <c r="C9" s="16" t="s">
        <v>304</v>
      </c>
      <c r="D9" s="21">
        <f t="shared" ref="D9:D10" si="2">3782400*0.17/3</f>
        <v>214336</v>
      </c>
      <c r="E9" s="21">
        <f t="shared" ref="E9:E10" si="3">4728000*0.17/3</f>
        <v>267920</v>
      </c>
    </row>
    <row r="10" spans="2:5" ht="15.75" thickBot="1">
      <c r="B10" s="294"/>
      <c r="C10" s="17" t="s">
        <v>307</v>
      </c>
      <c r="D10" s="21">
        <f t="shared" si="2"/>
        <v>214336</v>
      </c>
      <c r="E10" s="21">
        <f t="shared" si="3"/>
        <v>267920</v>
      </c>
    </row>
    <row r="11" spans="2:5" ht="15.75" thickTop="1">
      <c r="B11" s="295" t="s">
        <v>392</v>
      </c>
      <c r="C11" s="18" t="s">
        <v>310</v>
      </c>
      <c r="D11" s="21">
        <f>3782400*0.32/3</f>
        <v>403456</v>
      </c>
      <c r="E11" s="21">
        <f>4728000*0.32/3</f>
        <v>504320</v>
      </c>
    </row>
    <row r="12" spans="2:5">
      <c r="B12" s="294"/>
      <c r="C12" s="16" t="s">
        <v>312</v>
      </c>
      <c r="D12" s="21">
        <f t="shared" ref="D12:D13" si="4">3782400*0.32/3</f>
        <v>403456</v>
      </c>
      <c r="E12" s="21">
        <f t="shared" ref="E12:E13" si="5">4728000*0.32/3</f>
        <v>504320</v>
      </c>
    </row>
    <row r="13" spans="2:5" ht="15.75" thickBot="1">
      <c r="B13" s="294"/>
      <c r="C13" s="17" t="s">
        <v>315</v>
      </c>
      <c r="D13" s="21">
        <f t="shared" si="4"/>
        <v>403456</v>
      </c>
      <c r="E13" s="21">
        <f t="shared" si="5"/>
        <v>504320</v>
      </c>
    </row>
    <row r="14" spans="2:5" ht="15.75" thickTop="1">
      <c r="B14" s="295" t="s">
        <v>393</v>
      </c>
      <c r="C14" s="18" t="s">
        <v>322</v>
      </c>
      <c r="D14" s="21">
        <f>3782400*0.41/3</f>
        <v>516928</v>
      </c>
      <c r="E14" s="21">
        <f>4728000*0.41/3</f>
        <v>646160</v>
      </c>
    </row>
    <row r="15" spans="2:5">
      <c r="B15" s="294"/>
      <c r="C15" s="16" t="s">
        <v>325</v>
      </c>
      <c r="D15" s="21">
        <f>3782400*0.41/3</f>
        <v>516928</v>
      </c>
      <c r="E15" s="21">
        <f t="shared" ref="E15:E16" si="6">4728000*0.41/3</f>
        <v>646160</v>
      </c>
    </row>
    <row r="16" spans="2:5" ht="15.75" thickBot="1">
      <c r="B16" s="294"/>
      <c r="C16" s="17" t="s">
        <v>328</v>
      </c>
      <c r="D16" s="21">
        <f>3782400*0.41/3</f>
        <v>516928</v>
      </c>
      <c r="E16" s="21">
        <f t="shared" si="6"/>
        <v>646160</v>
      </c>
    </row>
    <row r="17" spans="2:5" ht="17.25" thickTop="1" thickBot="1">
      <c r="B17" s="19">
        <v>2023</v>
      </c>
      <c r="C17" s="20" t="s">
        <v>394</v>
      </c>
      <c r="D17" s="22">
        <f>SUM(D5:D16)</f>
        <v>3782400</v>
      </c>
      <c r="E17" s="22">
        <f>SUM(E5:E16)</f>
        <v>4728000</v>
      </c>
    </row>
  </sheetData>
  <mergeCells count="4">
    <mergeCell ref="B5:B7"/>
    <mergeCell ref="B8:B10"/>
    <mergeCell ref="B11:B13"/>
    <mergeCell ref="B14:B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D948B-30FB-4073-A311-F8CC6CA13D37}">
  <sheetPr>
    <tabColor rgb="FF009999"/>
  </sheetPr>
  <dimension ref="A1:I17"/>
  <sheetViews>
    <sheetView showGridLines="0" zoomScale="115" zoomScaleNormal="115" workbookViewId="0">
      <selection activeCell="G20" sqref="G20"/>
    </sheetView>
  </sheetViews>
  <sheetFormatPr defaultColWidth="9.140625" defaultRowHeight="15"/>
  <cols>
    <col min="1" max="1" width="8.85546875" style="28"/>
    <col min="2" max="2" width="43.7109375" bestFit="1" customWidth="1"/>
    <col min="3" max="3" width="20" bestFit="1" customWidth="1"/>
    <col min="4" max="4" width="18.7109375" customWidth="1"/>
    <col min="6" max="6" width="9.5703125" customWidth="1"/>
    <col min="7" max="7" width="11.85546875" customWidth="1"/>
    <col min="8" max="8" width="39.28515625" customWidth="1"/>
    <col min="9" max="9" width="10.7109375" bestFit="1" customWidth="1"/>
  </cols>
  <sheetData>
    <row r="1" spans="2:9" ht="26.25" thickBot="1">
      <c r="B1" s="25" t="s">
        <v>395</v>
      </c>
      <c r="C1" s="25" t="s">
        <v>396</v>
      </c>
      <c r="D1" s="25" t="s">
        <v>2</v>
      </c>
      <c r="E1" s="25" t="s">
        <v>34</v>
      </c>
      <c r="F1" s="25" t="s">
        <v>35</v>
      </c>
      <c r="G1" s="25" t="s">
        <v>36</v>
      </c>
      <c r="H1" s="25" t="s">
        <v>397</v>
      </c>
      <c r="I1" s="30" t="s">
        <v>37</v>
      </c>
    </row>
    <row r="2" spans="2:9" ht="16.899999999999999" customHeight="1">
      <c r="B2" s="4" t="s">
        <v>398</v>
      </c>
      <c r="C2" s="2" t="s">
        <v>108</v>
      </c>
      <c r="D2" s="8" t="s">
        <v>399</v>
      </c>
      <c r="E2" s="2">
        <v>1012</v>
      </c>
      <c r="F2" s="5" t="str">
        <f>IF(E2&gt;0,"Invoiced", "Pending")</f>
        <v>Invoiced</v>
      </c>
      <c r="G2" s="3">
        <v>47333.06</v>
      </c>
      <c r="H2" s="38" t="s">
        <v>400</v>
      </c>
      <c r="I2" s="6">
        <v>44981</v>
      </c>
    </row>
    <row r="3" spans="2:9" ht="16.899999999999999" customHeight="1">
      <c r="B3" s="4" t="s">
        <v>401</v>
      </c>
      <c r="C3" s="2" t="s">
        <v>108</v>
      </c>
      <c r="D3" s="8" t="s">
        <v>402</v>
      </c>
      <c r="E3" s="2">
        <v>1010</v>
      </c>
      <c r="F3" s="5" t="str">
        <f t="shared" ref="F3:F17" si="0">IF(E3&gt;0,"Invoiced", "Pending")</f>
        <v>Invoiced</v>
      </c>
      <c r="G3" s="3">
        <v>43275.73</v>
      </c>
      <c r="H3" s="38" t="s">
        <v>400</v>
      </c>
      <c r="I3" s="6">
        <v>44964</v>
      </c>
    </row>
    <row r="4" spans="2:9" ht="16.899999999999999" customHeight="1">
      <c r="B4" s="4" t="s">
        <v>403</v>
      </c>
      <c r="C4" s="2" t="s">
        <v>108</v>
      </c>
      <c r="D4" s="8" t="s">
        <v>404</v>
      </c>
      <c r="E4" s="77">
        <v>1004</v>
      </c>
      <c r="F4" s="5" t="str">
        <f t="shared" si="0"/>
        <v>Invoiced</v>
      </c>
      <c r="G4" s="3">
        <v>37069.269999999997</v>
      </c>
      <c r="H4" s="38" t="s">
        <v>400</v>
      </c>
      <c r="I4" s="6">
        <v>44911</v>
      </c>
    </row>
    <row r="5" spans="2:9" ht="16.899999999999999" customHeight="1">
      <c r="B5" s="4" t="s">
        <v>405</v>
      </c>
      <c r="C5" s="2" t="s">
        <v>108</v>
      </c>
      <c r="D5" s="8" t="s">
        <v>406</v>
      </c>
      <c r="E5" s="2">
        <v>1011</v>
      </c>
      <c r="F5" s="5" t="str">
        <f t="shared" si="0"/>
        <v>Invoiced</v>
      </c>
      <c r="G5" s="3">
        <v>45568.27</v>
      </c>
      <c r="H5" s="38" t="s">
        <v>400</v>
      </c>
      <c r="I5" s="6">
        <v>44974</v>
      </c>
    </row>
    <row r="6" spans="2:9" ht="16.899999999999999" customHeight="1">
      <c r="B6" s="4" t="s">
        <v>407</v>
      </c>
      <c r="C6" s="2" t="s">
        <v>108</v>
      </c>
      <c r="D6" s="8" t="s">
        <v>408</v>
      </c>
      <c r="E6" s="77">
        <v>1003</v>
      </c>
      <c r="F6" s="5" t="str">
        <f t="shared" si="0"/>
        <v>Invoiced</v>
      </c>
      <c r="G6" s="3">
        <v>37273.129999999997</v>
      </c>
      <c r="H6" s="38" t="s">
        <v>400</v>
      </c>
      <c r="I6" s="6">
        <v>44903</v>
      </c>
    </row>
    <row r="7" spans="2:9" ht="16.899999999999999" customHeight="1">
      <c r="B7" s="4" t="s">
        <v>409</v>
      </c>
      <c r="C7" s="2" t="s">
        <v>108</v>
      </c>
      <c r="D7" s="8" t="s">
        <v>410</v>
      </c>
      <c r="E7" s="2">
        <v>1009</v>
      </c>
      <c r="F7" s="5" t="str">
        <f t="shared" si="0"/>
        <v>Invoiced</v>
      </c>
      <c r="G7" s="3">
        <v>58756.800000000003</v>
      </c>
      <c r="H7" s="38" t="s">
        <v>400</v>
      </c>
      <c r="I7" s="6">
        <v>44950</v>
      </c>
    </row>
    <row r="8" spans="2:9" ht="16.899999999999999" customHeight="1">
      <c r="B8" s="4" t="s">
        <v>411</v>
      </c>
      <c r="C8" s="2" t="s">
        <v>108</v>
      </c>
      <c r="D8" s="8" t="s">
        <v>412</v>
      </c>
      <c r="E8" s="77">
        <v>1002</v>
      </c>
      <c r="F8" s="5" t="str">
        <f t="shared" si="0"/>
        <v>Invoiced</v>
      </c>
      <c r="G8" s="3">
        <v>2200</v>
      </c>
      <c r="H8" s="38" t="s">
        <v>400</v>
      </c>
      <c r="I8" s="6">
        <v>44882</v>
      </c>
    </row>
    <row r="9" spans="2:9" ht="16.899999999999999" customHeight="1">
      <c r="B9" s="4" t="s">
        <v>413</v>
      </c>
      <c r="C9" s="2" t="s">
        <v>108</v>
      </c>
      <c r="D9" s="8" t="s">
        <v>414</v>
      </c>
      <c r="E9" s="2">
        <v>1017</v>
      </c>
      <c r="F9" s="5" t="str">
        <f t="shared" si="0"/>
        <v>Invoiced</v>
      </c>
      <c r="G9" s="3">
        <v>9987.5</v>
      </c>
      <c r="H9" s="38" t="s">
        <v>400</v>
      </c>
      <c r="I9" s="6">
        <v>45008</v>
      </c>
    </row>
    <row r="10" spans="2:9" ht="16.899999999999999" customHeight="1">
      <c r="B10" s="4" t="s">
        <v>299</v>
      </c>
      <c r="C10" s="2" t="s">
        <v>415</v>
      </c>
      <c r="D10" s="8" t="s">
        <v>416</v>
      </c>
      <c r="E10" s="2">
        <v>1007</v>
      </c>
      <c r="F10" s="5" t="str">
        <f t="shared" si="0"/>
        <v>Invoiced</v>
      </c>
      <c r="G10" s="3">
        <v>21656.880000000001</v>
      </c>
      <c r="H10" s="37" t="s">
        <v>417</v>
      </c>
      <c r="I10" s="6">
        <v>44928</v>
      </c>
    </row>
    <row r="11" spans="2:9" ht="16.899999999999999" customHeight="1">
      <c r="B11" s="4" t="s">
        <v>299</v>
      </c>
      <c r="C11" s="2" t="s">
        <v>415</v>
      </c>
      <c r="D11" s="8" t="s">
        <v>416</v>
      </c>
      <c r="E11" s="2">
        <v>1028</v>
      </c>
      <c r="F11" s="5" t="str">
        <f t="shared" si="0"/>
        <v>Invoiced</v>
      </c>
      <c r="G11" s="3">
        <v>32485.32</v>
      </c>
      <c r="H11" s="37" t="s">
        <v>417</v>
      </c>
      <c r="I11" s="6">
        <v>45127</v>
      </c>
    </row>
    <row r="12" spans="2:9" ht="16.899999999999999" customHeight="1">
      <c r="B12" s="4" t="s">
        <v>299</v>
      </c>
      <c r="C12" s="2" t="s">
        <v>415</v>
      </c>
      <c r="D12" s="8" t="s">
        <v>418</v>
      </c>
      <c r="E12" s="2">
        <v>1008</v>
      </c>
      <c r="F12" s="5" t="str">
        <f t="shared" si="0"/>
        <v>Invoiced</v>
      </c>
      <c r="G12" s="3">
        <v>18090.39</v>
      </c>
      <c r="H12" s="37" t="s">
        <v>417</v>
      </c>
      <c r="I12" s="6">
        <v>44928</v>
      </c>
    </row>
    <row r="13" spans="2:9" ht="16.899999999999999" customHeight="1">
      <c r="B13" s="4" t="s">
        <v>299</v>
      </c>
      <c r="C13" s="2" t="s">
        <v>415</v>
      </c>
      <c r="D13" s="8" t="s">
        <v>418</v>
      </c>
      <c r="E13" s="2">
        <v>1009</v>
      </c>
      <c r="F13" s="5" t="str">
        <f t="shared" si="0"/>
        <v>Invoiced</v>
      </c>
      <c r="G13" s="3">
        <v>27135.58</v>
      </c>
      <c r="H13" s="37" t="s">
        <v>417</v>
      </c>
      <c r="I13" s="6">
        <v>45168</v>
      </c>
    </row>
    <row r="14" spans="2:9" ht="16.899999999999999" customHeight="1">
      <c r="B14" s="4" t="s">
        <v>419</v>
      </c>
      <c r="C14" s="2" t="s">
        <v>108</v>
      </c>
      <c r="D14" s="8">
        <v>474463</v>
      </c>
      <c r="E14" s="2">
        <v>1239</v>
      </c>
      <c r="F14" s="5" t="str">
        <f t="shared" si="0"/>
        <v>Invoiced</v>
      </c>
      <c r="G14" s="3">
        <v>1920</v>
      </c>
      <c r="H14" s="38" t="s">
        <v>420</v>
      </c>
      <c r="I14" s="6">
        <v>45008</v>
      </c>
    </row>
    <row r="15" spans="2:9" ht="16.899999999999999" customHeight="1">
      <c r="B15" s="4" t="s">
        <v>421</v>
      </c>
      <c r="C15" s="2" t="s">
        <v>108</v>
      </c>
      <c r="D15" s="8">
        <v>478453</v>
      </c>
      <c r="E15" s="2">
        <v>1250</v>
      </c>
      <c r="F15" s="5" t="str">
        <f t="shared" si="0"/>
        <v>Invoiced</v>
      </c>
      <c r="G15" s="3">
        <v>225</v>
      </c>
      <c r="H15" s="38" t="s">
        <v>420</v>
      </c>
      <c r="I15" s="6">
        <v>45014</v>
      </c>
    </row>
    <row r="16" spans="2:9" ht="16.899999999999999" customHeight="1">
      <c r="B16" s="36" t="s">
        <v>422</v>
      </c>
      <c r="C16" s="2" t="s">
        <v>108</v>
      </c>
      <c r="D16" s="8">
        <v>482367</v>
      </c>
      <c r="E16" s="76">
        <v>1450</v>
      </c>
      <c r="F16" s="5" t="str">
        <f t="shared" si="0"/>
        <v>Invoiced</v>
      </c>
      <c r="G16" s="3">
        <v>67100.460000000006</v>
      </c>
      <c r="H16" s="38" t="s">
        <v>420</v>
      </c>
      <c r="I16" s="6">
        <v>44823</v>
      </c>
    </row>
    <row r="17" spans="2:9" ht="16.899999999999999" customHeight="1">
      <c r="B17" s="36" t="s">
        <v>423</v>
      </c>
      <c r="C17" s="2" t="s">
        <v>108</v>
      </c>
      <c r="D17" s="8">
        <v>483270</v>
      </c>
      <c r="E17" s="76">
        <v>1458</v>
      </c>
      <c r="F17" s="5" t="str">
        <f t="shared" si="0"/>
        <v>Invoiced</v>
      </c>
      <c r="G17" s="3">
        <v>39520.699999999997</v>
      </c>
      <c r="H17" s="38" t="s">
        <v>420</v>
      </c>
      <c r="I17" s="6">
        <v>44826</v>
      </c>
    </row>
  </sheetData>
  <autoFilter ref="B1:I17" xr:uid="{C37D948B-30FB-4073-A311-F8CC6CA13D37}"/>
  <conditionalFormatting sqref="F1:F17">
    <cfRule type="cellIs" dxfId="55" priority="1" operator="equal">
      <formula>"Pending"</formula>
    </cfRule>
    <cfRule type="cellIs" dxfId="54" priority="2" operator="equal">
      <formula>"Invoiced"</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6B95A-0BFB-4DBA-82B4-9642D20E5106}">
  <sheetPr>
    <tabColor rgb="FF99FFCC"/>
  </sheetPr>
  <dimension ref="B1:S26"/>
  <sheetViews>
    <sheetView showGridLines="0" zoomScaleNormal="100" zoomScaleSheetLayoutView="100" workbookViewId="0">
      <pane ySplit="1" topLeftCell="A2" activePane="bottomLeft" state="frozen"/>
      <selection pane="bottomLeft" activeCell="G19" sqref="G19"/>
    </sheetView>
  </sheetViews>
  <sheetFormatPr defaultColWidth="8.85546875" defaultRowHeight="15"/>
  <cols>
    <col min="1" max="1" width="4.7109375" style="1" customWidth="1"/>
    <col min="2" max="2" width="10.7109375" style="1" customWidth="1"/>
    <col min="3" max="3" width="8.7109375" style="1" customWidth="1"/>
    <col min="4" max="4" width="16" style="1" customWidth="1"/>
    <col min="5" max="5" width="12" style="1" customWidth="1"/>
    <col min="6" max="6" width="18.7109375" style="1" customWidth="1"/>
    <col min="7" max="7" width="41" style="1" customWidth="1"/>
    <col min="8" max="8" width="15.28515625" style="1" customWidth="1"/>
    <col min="9" max="10" width="12.7109375" style="1" customWidth="1"/>
    <col min="11" max="12" width="10.7109375" style="1" bestFit="1" customWidth="1"/>
    <col min="13" max="13" width="11.42578125" style="1" customWidth="1"/>
    <col min="14" max="14" width="10.85546875" style="1" bestFit="1" customWidth="1"/>
    <col min="15" max="16" width="11.85546875" style="1" customWidth="1"/>
    <col min="17" max="17" width="12.7109375" style="1" customWidth="1"/>
    <col min="18" max="18" width="5" style="1" customWidth="1"/>
    <col min="19" max="19" width="13.28515625" style="1" bestFit="1" customWidth="1"/>
    <col min="20" max="16384" width="8.85546875" style="1"/>
  </cols>
  <sheetData>
    <row r="1" spans="2:19" s="65" customFormat="1" ht="26.25" thickBot="1">
      <c r="B1" s="46" t="s">
        <v>0</v>
      </c>
      <c r="C1" s="45" t="s">
        <v>1</v>
      </c>
      <c r="D1" s="45" t="s">
        <v>424</v>
      </c>
      <c r="E1" s="45" t="s">
        <v>425</v>
      </c>
      <c r="F1" s="45" t="s">
        <v>426</v>
      </c>
      <c r="G1" s="45" t="s">
        <v>6</v>
      </c>
      <c r="H1" s="45" t="s">
        <v>7</v>
      </c>
      <c r="I1" s="47" t="s">
        <v>11</v>
      </c>
      <c r="J1" s="47" t="s">
        <v>11</v>
      </c>
      <c r="K1" s="47" t="s">
        <v>427</v>
      </c>
      <c r="L1" s="47" t="s">
        <v>428</v>
      </c>
      <c r="M1" s="47" t="s">
        <v>429</v>
      </c>
      <c r="N1" s="47" t="s">
        <v>430</v>
      </c>
      <c r="O1" s="47" t="s">
        <v>431</v>
      </c>
      <c r="P1" s="49" t="s">
        <v>80</v>
      </c>
      <c r="Q1" s="42" t="s">
        <v>432</v>
      </c>
      <c r="R1" s="1"/>
      <c r="S1" s="48" t="s">
        <v>433</v>
      </c>
    </row>
    <row r="2" spans="2:19" ht="19.899999999999999" customHeight="1">
      <c r="B2" s="50">
        <v>44949</v>
      </c>
      <c r="C2" s="8" t="s">
        <v>63</v>
      </c>
      <c r="D2" s="10" t="s">
        <v>434</v>
      </c>
      <c r="E2" s="10" t="s">
        <v>427</v>
      </c>
      <c r="F2" s="40" t="s">
        <v>435</v>
      </c>
      <c r="G2" s="4" t="s">
        <v>436</v>
      </c>
      <c r="H2" s="2" t="s">
        <v>351</v>
      </c>
      <c r="I2" s="3">
        <v>9747.4699999999993</v>
      </c>
      <c r="J2" s="56">
        <f>K2+L2+M2+N2+O2+P2</f>
        <v>9747.4699999999993</v>
      </c>
      <c r="K2" s="41">
        <v>3789.47</v>
      </c>
      <c r="L2" s="3">
        <v>4858</v>
      </c>
      <c r="M2" s="3">
        <v>270</v>
      </c>
      <c r="N2" s="3">
        <v>0</v>
      </c>
      <c r="O2" s="3">
        <v>0</v>
      </c>
      <c r="P2" s="41">
        <v>830</v>
      </c>
      <c r="Q2" s="43">
        <f>K2+P2</f>
        <v>4619.4699999999993</v>
      </c>
      <c r="S2" s="59">
        <f>J2-Q2</f>
        <v>5128</v>
      </c>
    </row>
    <row r="3" spans="2:19" ht="19.899999999999999" customHeight="1">
      <c r="B3" s="50">
        <v>44958</v>
      </c>
      <c r="C3" s="8" t="s">
        <v>63</v>
      </c>
      <c r="D3" s="10" t="s">
        <v>437</v>
      </c>
      <c r="E3" s="10" t="s">
        <v>427</v>
      </c>
      <c r="F3" s="40" t="s">
        <v>438</v>
      </c>
      <c r="G3" s="4" t="s">
        <v>306</v>
      </c>
      <c r="H3" s="2" t="s">
        <v>108</v>
      </c>
      <c r="I3" s="3">
        <v>66207.350000000006</v>
      </c>
      <c r="J3" s="56">
        <f>K3+L3+M3+N3+O3+P3</f>
        <v>66207.350000000006</v>
      </c>
      <c r="K3" s="41">
        <v>4947.8100000000004</v>
      </c>
      <c r="L3" s="32">
        <v>15462.57</v>
      </c>
      <c r="M3" s="3">
        <v>34016.9</v>
      </c>
      <c r="N3" s="3">
        <v>10205.07</v>
      </c>
      <c r="O3" s="3">
        <v>0</v>
      </c>
      <c r="P3" s="3">
        <v>1575</v>
      </c>
      <c r="Q3" s="43">
        <f>K3</f>
        <v>4947.8100000000004</v>
      </c>
      <c r="S3" s="59">
        <f t="shared" ref="S3:S18" si="0">J3-Q3</f>
        <v>61259.540000000008</v>
      </c>
    </row>
    <row r="4" spans="2:19" ht="19.899999999999999" customHeight="1">
      <c r="B4" s="50">
        <v>44958</v>
      </c>
      <c r="C4" s="8" t="s">
        <v>63</v>
      </c>
      <c r="D4" s="10" t="s">
        <v>439</v>
      </c>
      <c r="E4" s="10" t="s">
        <v>440</v>
      </c>
      <c r="F4" s="40" t="s">
        <v>441</v>
      </c>
      <c r="G4" s="4" t="s">
        <v>303</v>
      </c>
      <c r="H4" s="2" t="s">
        <v>108</v>
      </c>
      <c r="I4" s="3">
        <v>2200</v>
      </c>
      <c r="J4" s="56">
        <f t="shared" ref="J4:J8" si="1">K4+L4+M4+N4+O4+P4</f>
        <v>2200</v>
      </c>
      <c r="K4" s="3">
        <v>0</v>
      </c>
      <c r="L4" s="3">
        <v>0</v>
      </c>
      <c r="M4" s="3">
        <v>0</v>
      </c>
      <c r="N4" s="3">
        <v>0</v>
      </c>
      <c r="O4" s="63">
        <v>2200</v>
      </c>
      <c r="P4" s="3">
        <v>0</v>
      </c>
      <c r="Q4" s="43">
        <v>0</v>
      </c>
      <c r="S4" s="59">
        <f t="shared" si="0"/>
        <v>2200</v>
      </c>
    </row>
    <row r="5" spans="2:19" ht="19.899999999999999" customHeight="1">
      <c r="B5" s="50">
        <v>44986</v>
      </c>
      <c r="C5" s="8" t="s">
        <v>63</v>
      </c>
      <c r="D5" s="10" t="s">
        <v>442</v>
      </c>
      <c r="E5" s="10" t="s">
        <v>440</v>
      </c>
      <c r="F5" s="40" t="s">
        <v>441</v>
      </c>
      <c r="G5" s="4" t="s">
        <v>303</v>
      </c>
      <c r="H5" s="2" t="s">
        <v>108</v>
      </c>
      <c r="I5" s="3">
        <v>2420</v>
      </c>
      <c r="J5" s="56">
        <f t="shared" si="1"/>
        <v>2420</v>
      </c>
      <c r="K5" s="3">
        <v>0</v>
      </c>
      <c r="L5" s="3">
        <v>0</v>
      </c>
      <c r="M5" s="3">
        <v>0</v>
      </c>
      <c r="N5" s="3">
        <v>0</v>
      </c>
      <c r="O5" s="63">
        <v>2420</v>
      </c>
      <c r="P5" s="3">
        <v>0</v>
      </c>
      <c r="Q5" s="43">
        <v>0</v>
      </c>
      <c r="S5" s="59">
        <f t="shared" si="0"/>
        <v>2420</v>
      </c>
    </row>
    <row r="6" spans="2:19" ht="19.899999999999999" customHeight="1">
      <c r="B6" s="50">
        <v>45017</v>
      </c>
      <c r="C6" s="8" t="s">
        <v>63</v>
      </c>
      <c r="D6" s="10" t="s">
        <v>443</v>
      </c>
      <c r="E6" s="10" t="s">
        <v>427</v>
      </c>
      <c r="F6" s="40" t="s">
        <v>435</v>
      </c>
      <c r="G6" s="4" t="s">
        <v>309</v>
      </c>
      <c r="H6" s="2" t="s">
        <v>444</v>
      </c>
      <c r="I6" s="3">
        <v>21388.97</v>
      </c>
      <c r="J6" s="56">
        <f t="shared" si="1"/>
        <v>21388.97</v>
      </c>
      <c r="K6" s="41">
        <v>1822.12</v>
      </c>
      <c r="L6" s="3">
        <v>2958.86</v>
      </c>
      <c r="M6" s="3">
        <v>13177.11</v>
      </c>
      <c r="N6" s="61">
        <v>3430.88</v>
      </c>
      <c r="O6" s="3">
        <v>0</v>
      </c>
      <c r="P6" s="3">
        <v>0</v>
      </c>
      <c r="Q6" s="43">
        <f>K6</f>
        <v>1822.12</v>
      </c>
      <c r="S6" s="59">
        <f>J6-Q6</f>
        <v>19566.850000000002</v>
      </c>
    </row>
    <row r="7" spans="2:19" ht="19.899999999999999" customHeight="1">
      <c r="B7" s="50">
        <v>45017</v>
      </c>
      <c r="C7" s="8" t="s">
        <v>63</v>
      </c>
      <c r="D7" s="10" t="s">
        <v>445</v>
      </c>
      <c r="E7" s="10" t="s">
        <v>440</v>
      </c>
      <c r="F7" s="40" t="s">
        <v>441</v>
      </c>
      <c r="G7" s="4" t="s">
        <v>308</v>
      </c>
      <c r="H7" s="2" t="s">
        <v>108</v>
      </c>
      <c r="I7" s="3">
        <v>2459</v>
      </c>
      <c r="J7" s="56">
        <f t="shared" si="1"/>
        <v>2459</v>
      </c>
      <c r="K7" s="3">
        <v>0</v>
      </c>
      <c r="L7" s="3">
        <v>0</v>
      </c>
      <c r="M7" s="3">
        <v>0</v>
      </c>
      <c r="N7" s="3">
        <v>0</v>
      </c>
      <c r="O7" s="63">
        <v>2459</v>
      </c>
      <c r="P7" s="3">
        <v>0</v>
      </c>
      <c r="Q7" s="43">
        <v>0</v>
      </c>
      <c r="S7" s="59">
        <f t="shared" si="0"/>
        <v>2459</v>
      </c>
    </row>
    <row r="8" spans="2:19" ht="19.899999999999999" customHeight="1">
      <c r="B8" s="50">
        <v>45017</v>
      </c>
      <c r="C8" s="8" t="s">
        <v>63</v>
      </c>
      <c r="D8" s="10" t="s">
        <v>446</v>
      </c>
      <c r="E8" s="10" t="s">
        <v>428</v>
      </c>
      <c r="F8" s="40" t="s">
        <v>447</v>
      </c>
      <c r="G8" s="4" t="s">
        <v>311</v>
      </c>
      <c r="H8" s="2" t="s">
        <v>108</v>
      </c>
      <c r="I8" s="3">
        <v>55245.23</v>
      </c>
      <c r="J8" s="56">
        <f t="shared" si="1"/>
        <v>55245.229999999996</v>
      </c>
      <c r="K8" s="41">
        <v>5581.25</v>
      </c>
      <c r="L8" s="3">
        <v>11566.03</v>
      </c>
      <c r="M8" s="3">
        <v>29361.5</v>
      </c>
      <c r="N8" s="3">
        <v>8736.4500000000007</v>
      </c>
      <c r="O8" s="3">
        <v>0</v>
      </c>
      <c r="P8" s="3">
        <v>0</v>
      </c>
      <c r="Q8" s="43">
        <f>K8</f>
        <v>5581.25</v>
      </c>
      <c r="S8" s="59">
        <f t="shared" si="0"/>
        <v>49663.979999999996</v>
      </c>
    </row>
    <row r="9" spans="2:19" ht="19.899999999999999" customHeight="1">
      <c r="B9" s="50">
        <v>45078</v>
      </c>
      <c r="C9" s="8" t="s">
        <v>63</v>
      </c>
      <c r="D9" s="10" t="s">
        <v>448</v>
      </c>
      <c r="E9" s="10" t="s">
        <v>427</v>
      </c>
      <c r="F9" s="40" t="s">
        <v>435</v>
      </c>
      <c r="G9" s="4" t="s">
        <v>319</v>
      </c>
      <c r="H9" s="2" t="s">
        <v>444</v>
      </c>
      <c r="I9" s="3">
        <v>28419.21</v>
      </c>
      <c r="J9" s="56">
        <f>K9+M9+N9+L9+O9+P9</f>
        <v>28419.208699999999</v>
      </c>
      <c r="K9" s="41">
        <v>2560.2087000000001</v>
      </c>
      <c r="L9" s="3">
        <v>3830</v>
      </c>
      <c r="M9" s="3">
        <v>16945.38</v>
      </c>
      <c r="N9" s="61">
        <v>5083.62</v>
      </c>
      <c r="O9" s="3">
        <v>0</v>
      </c>
      <c r="P9" s="3">
        <v>0</v>
      </c>
      <c r="Q9" s="43">
        <f>K9</f>
        <v>2560.2087000000001</v>
      </c>
      <c r="S9" s="59">
        <f t="shared" si="0"/>
        <v>25859</v>
      </c>
    </row>
    <row r="10" spans="2:19" ht="19.899999999999999" customHeight="1">
      <c r="B10" s="50">
        <v>45078</v>
      </c>
      <c r="C10" s="8" t="s">
        <v>63</v>
      </c>
      <c r="D10" s="10" t="s">
        <v>449</v>
      </c>
      <c r="E10" s="10" t="s">
        <v>427</v>
      </c>
      <c r="F10" s="40" t="s">
        <v>447</v>
      </c>
      <c r="G10" s="4" t="s">
        <v>317</v>
      </c>
      <c r="H10" s="2" t="s">
        <v>108</v>
      </c>
      <c r="I10" s="3">
        <v>47048.77</v>
      </c>
      <c r="J10" s="56">
        <f>K10+M10+N10+L10+O10+P10</f>
        <v>47048.77</v>
      </c>
      <c r="K10" s="41">
        <v>3547.5</v>
      </c>
      <c r="L10" s="3">
        <v>11522.5</v>
      </c>
      <c r="M10" s="3">
        <f>25079.05-480</f>
        <v>24599.05</v>
      </c>
      <c r="N10" s="3">
        <v>7379.72</v>
      </c>
      <c r="O10" s="3">
        <v>0</v>
      </c>
      <c r="P10" s="3">
        <v>0</v>
      </c>
      <c r="Q10" s="43">
        <f>K10</f>
        <v>3547.5</v>
      </c>
      <c r="S10" s="59">
        <f t="shared" si="0"/>
        <v>43501.27</v>
      </c>
    </row>
    <row r="11" spans="2:19" ht="19.899999999999999" customHeight="1">
      <c r="B11" s="50">
        <v>45078</v>
      </c>
      <c r="C11" s="8" t="s">
        <v>63</v>
      </c>
      <c r="D11" s="10" t="s">
        <v>450</v>
      </c>
      <c r="E11" s="10" t="s">
        <v>440</v>
      </c>
      <c r="F11" s="40" t="s">
        <v>451</v>
      </c>
      <c r="G11" s="4" t="s">
        <v>320</v>
      </c>
      <c r="H11" s="2" t="s">
        <v>452</v>
      </c>
      <c r="I11" s="3">
        <v>9552.6</v>
      </c>
      <c r="J11" s="56">
        <f t="shared" ref="J11" si="2">K11+L11+M11+N11+O11+P11</f>
        <v>9552.6</v>
      </c>
      <c r="K11" s="3">
        <v>0</v>
      </c>
      <c r="L11" s="41">
        <v>4961</v>
      </c>
      <c r="M11" s="3">
        <v>3532</v>
      </c>
      <c r="N11" s="3">
        <v>1059.5999999999999</v>
      </c>
      <c r="O11" s="3">
        <v>0</v>
      </c>
      <c r="P11" s="3">
        <v>0</v>
      </c>
      <c r="Q11" s="43">
        <f>L11</f>
        <v>4961</v>
      </c>
      <c r="S11" s="59">
        <f t="shared" ref="S11" si="3">J11-Q11</f>
        <v>4591.6000000000004</v>
      </c>
    </row>
    <row r="12" spans="2:19" ht="19.899999999999999" customHeight="1">
      <c r="B12" s="50">
        <v>45078</v>
      </c>
      <c r="C12" s="8" t="s">
        <v>63</v>
      </c>
      <c r="D12" s="10" t="s">
        <v>453</v>
      </c>
      <c r="E12" s="10" t="s">
        <v>427</v>
      </c>
      <c r="F12" s="40" t="s">
        <v>438</v>
      </c>
      <c r="G12" s="4" t="s">
        <v>314</v>
      </c>
      <c r="H12" s="2" t="s">
        <v>112</v>
      </c>
      <c r="I12" s="3">
        <v>29266.82</v>
      </c>
      <c r="J12" s="56">
        <f>K12+L12+M12+N12+O12+P12</f>
        <v>29266.82</v>
      </c>
      <c r="K12" s="41">
        <v>2178.2800000000002</v>
      </c>
      <c r="L12" s="3">
        <v>3224.01</v>
      </c>
      <c r="M12" s="3">
        <v>16280.41</v>
      </c>
      <c r="N12" s="61">
        <v>6734.12</v>
      </c>
      <c r="O12" s="3">
        <v>0</v>
      </c>
      <c r="P12" s="3">
        <v>850</v>
      </c>
      <c r="Q12" s="43">
        <f>K12</f>
        <v>2178.2800000000002</v>
      </c>
      <c r="S12" s="59">
        <f>J12-Q12</f>
        <v>27088.54</v>
      </c>
    </row>
    <row r="13" spans="2:19" ht="19.899999999999999" customHeight="1">
      <c r="B13" s="50">
        <v>45078</v>
      </c>
      <c r="C13" s="8" t="s">
        <v>63</v>
      </c>
      <c r="D13" s="10" t="s">
        <v>454</v>
      </c>
      <c r="E13" s="10" t="s">
        <v>427</v>
      </c>
      <c r="F13" s="40" t="s">
        <v>435</v>
      </c>
      <c r="G13" s="4" t="s">
        <v>336</v>
      </c>
      <c r="H13" s="2" t="s">
        <v>112</v>
      </c>
      <c r="I13" s="3">
        <v>68927.34</v>
      </c>
      <c r="J13" s="56">
        <f>K13+M13+N13+L13+O13+P13</f>
        <v>68927.33600000001</v>
      </c>
      <c r="K13" s="41">
        <f>2835.146+2566.12</f>
        <v>5401.2659999999996</v>
      </c>
      <c r="L13" s="3">
        <f>4397.43+3847.8</f>
        <v>8245.23</v>
      </c>
      <c r="M13" s="3">
        <f>22519+18927.8</f>
        <v>41446.800000000003</v>
      </c>
      <c r="N13" s="61">
        <f>6605.7+5528.34</f>
        <v>12134.04</v>
      </c>
      <c r="O13" s="3">
        <v>0</v>
      </c>
      <c r="P13" s="3">
        <f>850+850</f>
        <v>1700</v>
      </c>
      <c r="Q13" s="43">
        <f>K13</f>
        <v>5401.2659999999996</v>
      </c>
      <c r="S13" s="59">
        <f t="shared" si="0"/>
        <v>63526.070000000007</v>
      </c>
    </row>
    <row r="14" spans="2:19" ht="19.899999999999999" customHeight="1">
      <c r="B14" s="50">
        <v>45108</v>
      </c>
      <c r="C14" s="8" t="s">
        <v>63</v>
      </c>
      <c r="D14" s="10" t="s">
        <v>455</v>
      </c>
      <c r="E14" s="10" t="s">
        <v>427</v>
      </c>
      <c r="F14" s="40" t="s">
        <v>447</v>
      </c>
      <c r="G14" s="4" t="s">
        <v>323</v>
      </c>
      <c r="H14" s="2" t="s">
        <v>108</v>
      </c>
      <c r="I14" s="3">
        <v>18127.3</v>
      </c>
      <c r="J14" s="56">
        <f>K14+M14+N14+L14+O14+P14</f>
        <v>18127.3</v>
      </c>
      <c r="K14" s="41">
        <v>2650</v>
      </c>
      <c r="L14" s="3">
        <v>2450</v>
      </c>
      <c r="M14" s="3">
        <v>11221</v>
      </c>
      <c r="N14" s="3">
        <v>1806.3</v>
      </c>
      <c r="O14" s="3">
        <v>0</v>
      </c>
      <c r="P14" s="3">
        <v>0</v>
      </c>
      <c r="Q14" s="43">
        <f>K14</f>
        <v>2650</v>
      </c>
      <c r="S14" s="59">
        <f t="shared" si="0"/>
        <v>15477.3</v>
      </c>
    </row>
    <row r="15" spans="2:19" ht="19.899999999999999" customHeight="1">
      <c r="B15" s="50">
        <v>45161</v>
      </c>
      <c r="C15" s="8" t="s">
        <v>63</v>
      </c>
      <c r="D15" s="10" t="s">
        <v>456</v>
      </c>
      <c r="E15" s="10" t="s">
        <v>440</v>
      </c>
      <c r="F15" s="40" t="s">
        <v>457</v>
      </c>
      <c r="G15" s="4" t="s">
        <v>320</v>
      </c>
      <c r="H15" s="2" t="s">
        <v>452</v>
      </c>
      <c r="I15" s="3">
        <v>3455.2</v>
      </c>
      <c r="J15" s="56">
        <f>K15+L15+M15+N15+O15+P15</f>
        <v>3455.2</v>
      </c>
      <c r="K15" s="3">
        <v>0</v>
      </c>
      <c r="L15" s="3">
        <v>0</v>
      </c>
      <c r="M15" s="3">
        <v>2468</v>
      </c>
      <c r="N15" s="3">
        <v>987.2</v>
      </c>
      <c r="O15" s="3">
        <v>0</v>
      </c>
      <c r="P15" s="3">
        <v>0</v>
      </c>
      <c r="Q15" s="43">
        <v>0</v>
      </c>
      <c r="S15" s="59">
        <f t="shared" si="0"/>
        <v>3455.2</v>
      </c>
    </row>
    <row r="16" spans="2:19" ht="19.899999999999999" customHeight="1">
      <c r="B16" s="50">
        <v>45161</v>
      </c>
      <c r="C16" s="8" t="s">
        <v>63</v>
      </c>
      <c r="D16" s="10" t="s">
        <v>458</v>
      </c>
      <c r="E16" s="10" t="s">
        <v>440</v>
      </c>
      <c r="F16" s="40" t="s">
        <v>441</v>
      </c>
      <c r="G16" s="4" t="s">
        <v>313</v>
      </c>
      <c r="H16" s="2" t="s">
        <v>108</v>
      </c>
      <c r="I16" s="3">
        <v>2500</v>
      </c>
      <c r="J16" s="56">
        <f t="shared" ref="J16" si="4">K16+L16+M16+N16+O16+P16</f>
        <v>2500</v>
      </c>
      <c r="K16" s="3">
        <v>0</v>
      </c>
      <c r="L16" s="3">
        <v>0</v>
      </c>
      <c r="M16" s="3">
        <v>0</v>
      </c>
      <c r="N16" s="3">
        <v>0</v>
      </c>
      <c r="O16" s="63">
        <v>2500</v>
      </c>
      <c r="P16" s="3">
        <v>0</v>
      </c>
      <c r="Q16" s="43">
        <v>0</v>
      </c>
      <c r="S16" s="59">
        <f t="shared" ref="S16" si="5">J16-Q16</f>
        <v>2500</v>
      </c>
    </row>
    <row r="17" spans="2:19" ht="19.899999999999999" customHeight="1">
      <c r="B17" s="50">
        <v>45161</v>
      </c>
      <c r="C17" s="8" t="s">
        <v>63</v>
      </c>
      <c r="D17" s="10" t="s">
        <v>459</v>
      </c>
      <c r="E17" s="10" t="s">
        <v>427</v>
      </c>
      <c r="F17" s="40" t="s">
        <v>435</v>
      </c>
      <c r="G17" s="4" t="s">
        <v>336</v>
      </c>
      <c r="H17" s="2" t="s">
        <v>112</v>
      </c>
      <c r="I17" s="3">
        <v>8739.07</v>
      </c>
      <c r="J17" s="56">
        <f>K17+M17+N17+L17+O17+P17</f>
        <v>8739.07</v>
      </c>
      <c r="K17" s="41">
        <v>4840</v>
      </c>
      <c r="L17" s="3">
        <v>0</v>
      </c>
      <c r="M17" s="3">
        <f>2153.13+1100</f>
        <v>3253.13</v>
      </c>
      <c r="N17" s="61">
        <v>645.94000000000005</v>
      </c>
      <c r="O17" s="3">
        <v>0</v>
      </c>
      <c r="P17" s="3">
        <v>0</v>
      </c>
      <c r="Q17" s="43">
        <f>K17</f>
        <v>4840</v>
      </c>
      <c r="S17" s="59">
        <f t="shared" si="0"/>
        <v>3899.0699999999997</v>
      </c>
    </row>
    <row r="18" spans="2:19" ht="19.899999999999999" customHeight="1" thickBot="1">
      <c r="B18" s="51">
        <v>45192</v>
      </c>
      <c r="C18" s="52" t="s">
        <v>63</v>
      </c>
      <c r="D18" s="53" t="s">
        <v>460</v>
      </c>
      <c r="E18" s="53" t="s">
        <v>428</v>
      </c>
      <c r="F18" s="54" t="s">
        <v>461</v>
      </c>
      <c r="G18" s="55" t="s">
        <v>314</v>
      </c>
      <c r="H18" s="64" t="s">
        <v>112</v>
      </c>
      <c r="I18" s="31">
        <v>22546.1</v>
      </c>
      <c r="J18" s="57">
        <f>K18+M18+N18+L18+O18+P18</f>
        <v>22546.1</v>
      </c>
      <c r="K18" s="58">
        <v>5964</v>
      </c>
      <c r="L18" s="58">
        <v>4477</v>
      </c>
      <c r="M18" s="31">
        <v>4113.1499999999996</v>
      </c>
      <c r="N18" s="62">
        <v>2665.95</v>
      </c>
      <c r="O18" s="58">
        <v>2541</v>
      </c>
      <c r="P18" s="58">
        <v>2785</v>
      </c>
      <c r="Q18" s="44">
        <f>K18+L18+O18+P18</f>
        <v>15767</v>
      </c>
      <c r="S18" s="60">
        <f t="shared" si="0"/>
        <v>6779.0999999999985</v>
      </c>
    </row>
    <row r="19" spans="2:19" ht="15.75" thickBot="1"/>
    <row r="20" spans="2:19" ht="25.9" customHeight="1" thickBot="1">
      <c r="Q20" s="66">
        <f>SUM(Q2:Q18)</f>
        <v>58875.904699999999</v>
      </c>
      <c r="S20" s="67">
        <f>SUM(S2:S18)</f>
        <v>339374.51999999996</v>
      </c>
    </row>
    <row r="21" spans="2:19" ht="15.75" thickBot="1"/>
    <row r="22" spans="2:19">
      <c r="N22" s="69"/>
      <c r="O22" s="70" t="s">
        <v>462</v>
      </c>
      <c r="P22" s="71"/>
    </row>
    <row r="23" spans="2:19">
      <c r="N23" s="72"/>
      <c r="O23" s="68" t="s">
        <v>463</v>
      </c>
      <c r="P23" s="73"/>
    </row>
    <row r="24" spans="2:19" ht="15.75" thickBot="1">
      <c r="N24" s="74"/>
      <c r="O24" s="1" t="s">
        <v>464</v>
      </c>
      <c r="P24" s="75"/>
    </row>
    <row r="25" spans="2:19" ht="15.75" thickBot="1">
      <c r="N25" s="296" t="s">
        <v>465</v>
      </c>
      <c r="O25" s="297"/>
      <c r="P25" s="298"/>
    </row>
    <row r="26" spans="2:19" ht="15" customHeight="1"/>
  </sheetData>
  <mergeCells count="1">
    <mergeCell ref="N25:P25"/>
  </mergeCells>
  <dataValidations count="3">
    <dataValidation type="list" allowBlank="1" showInputMessage="1" showErrorMessage="1" sqref="C1 C14 C18" xr:uid="{1F4AC70C-A9F7-41A2-AB17-B9B73FBA08CB}">
      <formula1>"ICT, FCT, IAT, FIX, SW, TRA"</formula1>
    </dataValidation>
    <dataValidation type="list" allowBlank="1" showInputMessage="1" showErrorMessage="1" sqref="C15:C17 C2:C13" xr:uid="{D1053DA5-7408-420E-9A7E-0183F2269D28}">
      <formula1>"ICT, FCT, IAT, FIX, SW, TRA, REPS"</formula1>
    </dataValidation>
    <dataValidation type="list" allowBlank="1" showInputMessage="1" showErrorMessage="1" sqref="E2:E18" xr:uid="{1B9DBC44-5608-4E87-B153-0F6761941ABD}">
      <formula1>"Design, Debug, Installation"</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5EF4C-BF1B-4CB4-AA0E-5075F85D086C}">
  <sheetPr>
    <tabColor rgb="FF002060"/>
  </sheetPr>
  <dimension ref="B1:S26"/>
  <sheetViews>
    <sheetView showGridLines="0" zoomScale="115" zoomScaleNormal="115" zoomScaleSheetLayoutView="100" workbookViewId="0">
      <pane ySplit="1" topLeftCell="A2" activePane="bottomLeft" state="frozen"/>
      <selection pane="bottomLeft" activeCell="L9" sqref="L9"/>
    </sheetView>
  </sheetViews>
  <sheetFormatPr defaultColWidth="8.85546875" defaultRowHeight="15"/>
  <cols>
    <col min="1" max="1" width="4.7109375" style="1" customWidth="1"/>
    <col min="2" max="2" width="10.7109375" style="1" customWidth="1"/>
    <col min="3" max="3" width="8.7109375" style="1" customWidth="1"/>
    <col min="4" max="4" width="16" style="1" customWidth="1"/>
    <col min="5" max="5" width="12" style="1" customWidth="1"/>
    <col min="6" max="6" width="18.7109375" style="1" customWidth="1"/>
    <col min="7" max="7" width="41" style="1" customWidth="1"/>
    <col min="8" max="8" width="15.28515625" style="1" customWidth="1"/>
    <col min="9" max="10" width="12.7109375" style="1" customWidth="1"/>
    <col min="11" max="12" width="10.7109375" style="1" bestFit="1" customWidth="1"/>
    <col min="13" max="13" width="11.42578125" style="1" customWidth="1"/>
    <col min="14" max="14" width="10.85546875" style="1" bestFit="1" customWidth="1"/>
    <col min="15" max="16" width="11.85546875" style="1" customWidth="1"/>
    <col min="17" max="17" width="12.7109375" style="1" customWidth="1"/>
    <col min="18" max="18" width="5" style="1" customWidth="1"/>
    <col min="19" max="19" width="13.28515625" style="1" bestFit="1" customWidth="1"/>
    <col min="20" max="16384" width="8.85546875" style="1"/>
  </cols>
  <sheetData>
    <row r="1" spans="2:19" s="65" customFormat="1" ht="26.25" thickBot="1">
      <c r="B1" s="46" t="s">
        <v>0</v>
      </c>
      <c r="C1" s="45" t="s">
        <v>1</v>
      </c>
      <c r="D1" s="45" t="s">
        <v>424</v>
      </c>
      <c r="E1" s="45" t="s">
        <v>425</v>
      </c>
      <c r="F1" s="45" t="s">
        <v>466</v>
      </c>
      <c r="G1" s="45" t="s">
        <v>6</v>
      </c>
      <c r="H1" s="45" t="s">
        <v>7</v>
      </c>
      <c r="I1" s="47" t="s">
        <v>11</v>
      </c>
      <c r="J1" s="47" t="s">
        <v>11</v>
      </c>
      <c r="K1" s="47" t="s">
        <v>427</v>
      </c>
      <c r="L1" s="47" t="s">
        <v>428</v>
      </c>
      <c r="M1" s="47" t="s">
        <v>429</v>
      </c>
      <c r="N1" s="47" t="s">
        <v>430</v>
      </c>
      <c r="O1" s="47" t="s">
        <v>431</v>
      </c>
      <c r="P1" s="49" t="s">
        <v>80</v>
      </c>
      <c r="Q1" s="42" t="s">
        <v>432</v>
      </c>
      <c r="R1" s="1"/>
      <c r="S1" s="48" t="s">
        <v>433</v>
      </c>
    </row>
    <row r="2" spans="2:19" ht="19.899999999999999" customHeight="1">
      <c r="B2" s="50">
        <v>45222</v>
      </c>
      <c r="C2" s="8" t="s">
        <v>63</v>
      </c>
      <c r="D2" s="10"/>
      <c r="E2" s="10" t="s">
        <v>427</v>
      </c>
      <c r="F2" s="40" t="s">
        <v>467</v>
      </c>
      <c r="G2" s="4"/>
      <c r="H2" s="2" t="s">
        <v>468</v>
      </c>
      <c r="I2" s="3"/>
      <c r="J2" s="56"/>
      <c r="K2" s="3"/>
      <c r="L2" s="3"/>
      <c r="M2" s="3"/>
      <c r="N2" s="3"/>
      <c r="O2" s="3"/>
      <c r="P2" s="3"/>
      <c r="Q2" s="43">
        <f>K2+P2</f>
        <v>0</v>
      </c>
      <c r="S2" s="59">
        <f>J2-Q2</f>
        <v>0</v>
      </c>
    </row>
    <row r="3" spans="2:19" ht="19.899999999999999" customHeight="1">
      <c r="B3" s="50">
        <v>45222</v>
      </c>
      <c r="C3" s="8" t="s">
        <v>63</v>
      </c>
      <c r="D3" s="10"/>
      <c r="E3" s="10" t="s">
        <v>427</v>
      </c>
      <c r="F3" s="40" t="s">
        <v>447</v>
      </c>
      <c r="G3" s="4"/>
      <c r="H3" s="2" t="s">
        <v>469</v>
      </c>
      <c r="I3" s="3"/>
      <c r="J3" s="56"/>
      <c r="K3" s="3"/>
      <c r="L3" s="32"/>
      <c r="M3" s="3"/>
      <c r="N3" s="3"/>
      <c r="O3" s="3"/>
      <c r="P3" s="3"/>
      <c r="Q3" s="43">
        <f>K3</f>
        <v>0</v>
      </c>
      <c r="S3" s="59">
        <f t="shared" ref="S3:S18" si="0">J3-Q3</f>
        <v>0</v>
      </c>
    </row>
    <row r="4" spans="2:19" ht="19.899999999999999" customHeight="1">
      <c r="B4" s="50">
        <v>45222</v>
      </c>
      <c r="C4" s="8" t="s">
        <v>63</v>
      </c>
      <c r="D4" s="10"/>
      <c r="E4" s="10" t="s">
        <v>427</v>
      </c>
      <c r="F4" s="40" t="s">
        <v>447</v>
      </c>
      <c r="G4" s="4"/>
      <c r="H4" s="2" t="s">
        <v>470</v>
      </c>
      <c r="I4" s="3"/>
      <c r="J4" s="56"/>
      <c r="K4" s="3"/>
      <c r="L4" s="3"/>
      <c r="M4" s="3"/>
      <c r="N4" s="3"/>
      <c r="O4" s="3"/>
      <c r="P4" s="3"/>
      <c r="Q4" s="43">
        <v>0</v>
      </c>
      <c r="S4" s="59">
        <f t="shared" si="0"/>
        <v>0</v>
      </c>
    </row>
    <row r="5" spans="2:19" ht="19.899999999999999" customHeight="1">
      <c r="B5" s="50">
        <v>45253</v>
      </c>
      <c r="C5" s="8" t="s">
        <v>63</v>
      </c>
      <c r="D5" s="10"/>
      <c r="E5" s="10" t="s">
        <v>440</v>
      </c>
      <c r="F5" s="40" t="s">
        <v>471</v>
      </c>
      <c r="G5" s="4"/>
      <c r="H5" s="2" t="s">
        <v>472</v>
      </c>
      <c r="I5" s="3"/>
      <c r="J5" s="56"/>
      <c r="K5" s="3"/>
      <c r="L5" s="3"/>
      <c r="M5" s="3"/>
      <c r="N5" s="3"/>
      <c r="O5" s="3"/>
      <c r="P5" s="3"/>
      <c r="Q5" s="43">
        <v>0</v>
      </c>
      <c r="S5" s="59">
        <f t="shared" si="0"/>
        <v>0</v>
      </c>
    </row>
    <row r="6" spans="2:19" ht="19.899999999999999" customHeight="1">
      <c r="B6" s="50"/>
      <c r="C6" s="8"/>
      <c r="D6" s="10"/>
      <c r="E6" s="10"/>
      <c r="F6" s="40"/>
      <c r="G6" s="4"/>
      <c r="H6" s="2"/>
      <c r="I6" s="3"/>
      <c r="J6" s="56"/>
      <c r="K6" s="3"/>
      <c r="L6" s="3"/>
      <c r="M6" s="3"/>
      <c r="N6" s="3"/>
      <c r="O6" s="3"/>
      <c r="P6" s="3"/>
      <c r="Q6" s="43">
        <f>K6</f>
        <v>0</v>
      </c>
      <c r="S6" s="59">
        <f>J6-Q6</f>
        <v>0</v>
      </c>
    </row>
    <row r="7" spans="2:19" ht="19.899999999999999" customHeight="1">
      <c r="B7" s="50"/>
      <c r="C7" s="8"/>
      <c r="D7" s="10"/>
      <c r="E7" s="10"/>
      <c r="F7" s="40"/>
      <c r="G7" s="4"/>
      <c r="H7" s="2"/>
      <c r="I7" s="3"/>
      <c r="J7" s="56"/>
      <c r="K7" s="3"/>
      <c r="L7" s="3"/>
      <c r="M7" s="3"/>
      <c r="N7" s="3"/>
      <c r="O7" s="3"/>
      <c r="P7" s="3"/>
      <c r="Q7" s="43">
        <v>0</v>
      </c>
      <c r="S7" s="59">
        <f t="shared" si="0"/>
        <v>0</v>
      </c>
    </row>
    <row r="8" spans="2:19" ht="19.899999999999999" customHeight="1">
      <c r="B8" s="50"/>
      <c r="C8" s="8"/>
      <c r="D8" s="10"/>
      <c r="E8" s="10"/>
      <c r="F8" s="40"/>
      <c r="G8" s="4"/>
      <c r="H8" s="2"/>
      <c r="I8" s="3"/>
      <c r="J8" s="56"/>
      <c r="K8" s="3"/>
      <c r="L8" s="3"/>
      <c r="M8" s="3"/>
      <c r="N8" s="3"/>
      <c r="O8" s="3"/>
      <c r="P8" s="3"/>
      <c r="Q8" s="43">
        <f>K8</f>
        <v>0</v>
      </c>
      <c r="S8" s="59">
        <f t="shared" si="0"/>
        <v>0</v>
      </c>
    </row>
    <row r="9" spans="2:19" ht="19.899999999999999" customHeight="1">
      <c r="B9" s="50"/>
      <c r="C9" s="8"/>
      <c r="D9" s="10"/>
      <c r="E9" s="10"/>
      <c r="F9" s="40"/>
      <c r="G9" s="4"/>
      <c r="H9" s="2"/>
      <c r="I9" s="3"/>
      <c r="J9" s="56"/>
      <c r="K9" s="3"/>
      <c r="L9" s="3"/>
      <c r="M9" s="3"/>
      <c r="N9" s="3"/>
      <c r="O9" s="3"/>
      <c r="P9" s="3"/>
      <c r="Q9" s="43">
        <f>K9</f>
        <v>0</v>
      </c>
      <c r="S9" s="59">
        <f t="shared" si="0"/>
        <v>0</v>
      </c>
    </row>
    <row r="10" spans="2:19" ht="19.899999999999999" customHeight="1">
      <c r="B10" s="50"/>
      <c r="C10" s="8"/>
      <c r="D10" s="10"/>
      <c r="E10" s="10"/>
      <c r="F10" s="40"/>
      <c r="G10" s="4"/>
      <c r="H10" s="2"/>
      <c r="I10" s="3"/>
      <c r="J10" s="56"/>
      <c r="K10" s="3"/>
      <c r="L10" s="3"/>
      <c r="M10" s="3"/>
      <c r="N10" s="3"/>
      <c r="O10" s="3"/>
      <c r="P10" s="3"/>
      <c r="Q10" s="43">
        <f>K10</f>
        <v>0</v>
      </c>
      <c r="S10" s="59">
        <f t="shared" si="0"/>
        <v>0</v>
      </c>
    </row>
    <row r="11" spans="2:19" ht="19.899999999999999" customHeight="1">
      <c r="B11" s="50"/>
      <c r="C11" s="8"/>
      <c r="D11" s="10"/>
      <c r="E11" s="10"/>
      <c r="F11" s="40"/>
      <c r="G11" s="4"/>
      <c r="H11" s="2"/>
      <c r="I11" s="3"/>
      <c r="J11" s="56"/>
      <c r="K11" s="3"/>
      <c r="L11" s="3"/>
      <c r="M11" s="3"/>
      <c r="N11" s="3"/>
      <c r="O11" s="3"/>
      <c r="P11" s="3"/>
      <c r="Q11" s="43">
        <f>L11</f>
        <v>0</v>
      </c>
      <c r="S11" s="59">
        <f t="shared" si="0"/>
        <v>0</v>
      </c>
    </row>
    <row r="12" spans="2:19" ht="19.899999999999999" customHeight="1">
      <c r="B12" s="50"/>
      <c r="C12" s="8"/>
      <c r="D12" s="10"/>
      <c r="E12" s="10"/>
      <c r="F12" s="40"/>
      <c r="G12" s="4"/>
      <c r="H12" s="2"/>
      <c r="I12" s="3"/>
      <c r="J12" s="56"/>
      <c r="K12" s="3"/>
      <c r="L12" s="3"/>
      <c r="M12" s="3"/>
      <c r="N12" s="3"/>
      <c r="O12" s="3"/>
      <c r="P12" s="3"/>
      <c r="Q12" s="43">
        <f>K12</f>
        <v>0</v>
      </c>
      <c r="S12" s="59">
        <f>J12-Q12</f>
        <v>0</v>
      </c>
    </row>
    <row r="13" spans="2:19" ht="19.899999999999999" customHeight="1">
      <c r="B13" s="50"/>
      <c r="C13" s="8"/>
      <c r="D13" s="10"/>
      <c r="E13" s="10"/>
      <c r="F13" s="40"/>
      <c r="G13" s="4"/>
      <c r="H13" s="2"/>
      <c r="I13" s="3"/>
      <c r="J13" s="56"/>
      <c r="K13" s="3"/>
      <c r="L13" s="3"/>
      <c r="M13" s="3"/>
      <c r="N13" s="3"/>
      <c r="O13" s="3"/>
      <c r="P13" s="3"/>
      <c r="Q13" s="43">
        <f>K13</f>
        <v>0</v>
      </c>
      <c r="S13" s="59">
        <f t="shared" si="0"/>
        <v>0</v>
      </c>
    </row>
    <row r="14" spans="2:19" ht="19.899999999999999" customHeight="1">
      <c r="B14" s="50"/>
      <c r="C14" s="8"/>
      <c r="D14" s="10"/>
      <c r="E14" s="10"/>
      <c r="F14" s="40"/>
      <c r="G14" s="4"/>
      <c r="H14" s="2"/>
      <c r="I14" s="3"/>
      <c r="J14" s="56"/>
      <c r="K14" s="3"/>
      <c r="L14" s="3"/>
      <c r="M14" s="3"/>
      <c r="N14" s="3"/>
      <c r="O14" s="3"/>
      <c r="P14" s="3"/>
      <c r="Q14" s="43">
        <f>K14</f>
        <v>0</v>
      </c>
      <c r="S14" s="59">
        <f t="shared" si="0"/>
        <v>0</v>
      </c>
    </row>
    <row r="15" spans="2:19" ht="19.899999999999999" customHeight="1">
      <c r="B15" s="50"/>
      <c r="C15" s="8"/>
      <c r="D15" s="10"/>
      <c r="E15" s="10"/>
      <c r="F15" s="40"/>
      <c r="G15" s="4"/>
      <c r="H15" s="2"/>
      <c r="I15" s="3"/>
      <c r="J15" s="56"/>
      <c r="K15" s="3"/>
      <c r="L15" s="3"/>
      <c r="M15" s="3"/>
      <c r="N15" s="3"/>
      <c r="O15" s="3"/>
      <c r="P15" s="3"/>
      <c r="Q15" s="43">
        <v>0</v>
      </c>
      <c r="S15" s="59">
        <f t="shared" si="0"/>
        <v>0</v>
      </c>
    </row>
    <row r="16" spans="2:19" ht="19.899999999999999" customHeight="1">
      <c r="B16" s="50"/>
      <c r="C16" s="8"/>
      <c r="D16" s="10"/>
      <c r="E16" s="10"/>
      <c r="F16" s="40"/>
      <c r="G16" s="4"/>
      <c r="H16" s="2"/>
      <c r="I16" s="3"/>
      <c r="J16" s="56"/>
      <c r="K16" s="3"/>
      <c r="L16" s="3"/>
      <c r="M16" s="3"/>
      <c r="N16" s="3"/>
      <c r="O16" s="3"/>
      <c r="P16" s="3"/>
      <c r="Q16" s="43">
        <v>0</v>
      </c>
      <c r="S16" s="59">
        <f t="shared" si="0"/>
        <v>0</v>
      </c>
    </row>
    <row r="17" spans="2:19" ht="19.899999999999999" customHeight="1">
      <c r="B17" s="50"/>
      <c r="C17" s="8"/>
      <c r="D17" s="10"/>
      <c r="E17" s="10"/>
      <c r="F17" s="40"/>
      <c r="G17" s="4"/>
      <c r="H17" s="2"/>
      <c r="I17" s="3"/>
      <c r="J17" s="56"/>
      <c r="K17" s="3"/>
      <c r="L17" s="3"/>
      <c r="M17" s="3"/>
      <c r="N17" s="3"/>
      <c r="O17" s="3"/>
      <c r="P17" s="3"/>
      <c r="Q17" s="43">
        <f>K17</f>
        <v>0</v>
      </c>
      <c r="S17" s="59">
        <f t="shared" si="0"/>
        <v>0</v>
      </c>
    </row>
    <row r="18" spans="2:19" ht="19.899999999999999" customHeight="1" thickBot="1">
      <c r="B18" s="51"/>
      <c r="C18" s="52"/>
      <c r="D18" s="53"/>
      <c r="E18" s="53"/>
      <c r="F18" s="54"/>
      <c r="G18" s="55"/>
      <c r="H18" s="64"/>
      <c r="I18" s="31"/>
      <c r="J18" s="57"/>
      <c r="K18" s="31"/>
      <c r="L18" s="31"/>
      <c r="M18" s="31"/>
      <c r="N18" s="31"/>
      <c r="O18" s="31"/>
      <c r="P18" s="31"/>
      <c r="Q18" s="44">
        <f>K18+L18+O18+P18</f>
        <v>0</v>
      </c>
      <c r="S18" s="60">
        <f t="shared" si="0"/>
        <v>0</v>
      </c>
    </row>
    <row r="19" spans="2:19" ht="15.75" thickBot="1"/>
    <row r="20" spans="2:19" ht="25.9" customHeight="1" thickBot="1">
      <c r="Q20" s="66">
        <f>SUM(Q2:Q18)</f>
        <v>0</v>
      </c>
      <c r="S20" s="67">
        <f>SUM(S2:S18)</f>
        <v>0</v>
      </c>
    </row>
    <row r="26" spans="2:19" ht="15" customHeight="1"/>
  </sheetData>
  <dataValidations count="3">
    <dataValidation type="list" allowBlank="1" showInputMessage="1" showErrorMessage="1" sqref="E2:E18" xr:uid="{69737A48-A367-427F-8DCA-42D279E984CC}">
      <formula1>"Design, Debug, Installation"</formula1>
    </dataValidation>
    <dataValidation type="list" allowBlank="1" showInputMessage="1" showErrorMessage="1" sqref="C15:C17 C2:C13" xr:uid="{3E9A3B7C-B7A9-4632-BEC2-0EBE714EC859}">
      <formula1>"ICT, FCT, IAT, FIX, SW, TRA, REPS"</formula1>
    </dataValidation>
    <dataValidation type="list" allowBlank="1" showInputMessage="1" showErrorMessage="1" sqref="C1 C14 C18" xr:uid="{660DBB7E-ED12-49DD-A418-A7C4A72BA55F}">
      <formula1>"ICT, FCT, IAT, FIX, SW, TRA"</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F1964-6891-4104-B07E-A4A8CBD20C32}">
  <sheetPr>
    <tabColor rgb="FF002060"/>
  </sheetPr>
  <dimension ref="L1:BO97"/>
  <sheetViews>
    <sheetView showGridLines="0" topLeftCell="AM1" zoomScale="85" zoomScaleNormal="85" workbookViewId="0">
      <selection activeCell="BO14" sqref="BO14:BO33"/>
    </sheetView>
  </sheetViews>
  <sheetFormatPr defaultColWidth="9.140625" defaultRowHeight="15"/>
  <cols>
    <col min="1" max="11" width="1.140625" customWidth="1"/>
    <col min="12" max="12" width="17.28515625" bestFit="1" customWidth="1"/>
    <col min="13" max="13" width="17.42578125" bestFit="1" customWidth="1"/>
    <col min="14" max="23" width="1.5703125" customWidth="1"/>
    <col min="24" max="24" width="12.85546875" bestFit="1" customWidth="1"/>
    <col min="25" max="25" width="17.42578125" bestFit="1" customWidth="1"/>
    <col min="26" max="35" width="1.28515625" customWidth="1"/>
    <col min="36" max="37" width="2.28515625" customWidth="1"/>
    <col min="38" max="38" width="17.42578125" bestFit="1" customWidth="1"/>
    <col min="39" max="39" width="15.5703125" bestFit="1" customWidth="1"/>
    <col min="40" max="40" width="12.42578125" bestFit="1" customWidth="1"/>
    <col min="41" max="41" width="7" bestFit="1" customWidth="1"/>
    <col min="42" max="42" width="14.140625" bestFit="1" customWidth="1"/>
    <col min="43" max="49" width="2.28515625" customWidth="1"/>
    <col min="50" max="50" width="12.85546875" bestFit="1" customWidth="1"/>
    <col min="51" max="51" width="17.42578125" bestFit="1" customWidth="1"/>
    <col min="52" max="60" width="2.28515625" customWidth="1"/>
    <col min="61" max="61" width="50.5703125" bestFit="1" customWidth="1"/>
    <col min="62" max="62" width="17.42578125" customWidth="1"/>
    <col min="63" max="63" width="18.140625" style="28" bestFit="1" customWidth="1"/>
    <col min="64" max="64" width="17.5703125" style="28" bestFit="1" customWidth="1"/>
    <col min="65" max="65" width="14.42578125" style="28" bestFit="1" customWidth="1"/>
    <col min="66" max="66" width="12.5703125" style="28" bestFit="1" customWidth="1"/>
    <col min="67" max="67" width="11.5703125" style="28" bestFit="1" customWidth="1"/>
    <col min="68" max="70" width="12" bestFit="1" customWidth="1"/>
    <col min="71" max="71" width="11" bestFit="1" customWidth="1"/>
    <col min="72" max="75" width="12" bestFit="1" customWidth="1"/>
    <col min="76" max="76" width="12.42578125" bestFit="1" customWidth="1"/>
    <col min="77" max="81" width="12" bestFit="1" customWidth="1"/>
    <col min="82" max="82" width="11.42578125" bestFit="1" customWidth="1"/>
    <col min="83" max="89" width="12" bestFit="1" customWidth="1"/>
    <col min="90" max="90" width="10.28515625" bestFit="1" customWidth="1"/>
    <col min="91" max="92" width="12" bestFit="1" customWidth="1"/>
    <col min="93" max="93" width="10.28515625" bestFit="1" customWidth="1"/>
    <col min="94" max="94" width="6" bestFit="1" customWidth="1"/>
    <col min="95" max="95" width="7.140625" bestFit="1" customWidth="1"/>
    <col min="96" max="96" width="12.28515625" bestFit="1" customWidth="1"/>
    <col min="97" max="98" width="12" bestFit="1" customWidth="1"/>
    <col min="99" max="99" width="7.5703125" bestFit="1" customWidth="1"/>
    <col min="100" max="100" width="11" bestFit="1" customWidth="1"/>
    <col min="101" max="105" width="12" bestFit="1" customWidth="1"/>
    <col min="106" max="106" width="11" bestFit="1" customWidth="1"/>
    <col min="107" max="116" width="12" bestFit="1" customWidth="1"/>
    <col min="117" max="117" width="11" bestFit="1" customWidth="1"/>
    <col min="118" max="124" width="12" bestFit="1" customWidth="1"/>
    <col min="125" max="125" width="9.140625" bestFit="1" customWidth="1"/>
    <col min="126" max="127" width="12" bestFit="1" customWidth="1"/>
    <col min="128" max="128" width="9.140625" bestFit="1" customWidth="1"/>
    <col min="129" max="129" width="5.5703125" bestFit="1" customWidth="1"/>
    <col min="130" max="130" width="7.140625" bestFit="1" customWidth="1"/>
    <col min="131" max="131" width="11.42578125" bestFit="1" customWidth="1"/>
    <col min="132" max="132" width="12" bestFit="1" customWidth="1"/>
    <col min="133" max="133" width="12.42578125" bestFit="1" customWidth="1"/>
    <col min="134" max="134" width="10.28515625" bestFit="1" customWidth="1"/>
    <col min="135" max="135" width="11" bestFit="1" customWidth="1"/>
    <col min="136" max="140" width="12" bestFit="1" customWidth="1"/>
    <col min="141" max="141" width="11" bestFit="1" customWidth="1"/>
    <col min="142" max="151" width="12" bestFit="1" customWidth="1"/>
    <col min="152" max="152" width="11.42578125" bestFit="1" customWidth="1"/>
    <col min="153" max="159" width="12" bestFit="1" customWidth="1"/>
    <col min="161" max="162" width="12" bestFit="1" customWidth="1"/>
    <col min="163" max="164" width="6" bestFit="1" customWidth="1"/>
    <col min="165" max="165" width="7.140625" bestFit="1" customWidth="1"/>
    <col min="166" max="166" width="21.28515625" bestFit="1" customWidth="1"/>
    <col min="167" max="168" width="12" bestFit="1" customWidth="1"/>
    <col min="169" max="169" width="10.28515625" bestFit="1" customWidth="1"/>
    <col min="170" max="170" width="11" bestFit="1" customWidth="1"/>
    <col min="171" max="175" width="12" bestFit="1" customWidth="1"/>
    <col min="176" max="176" width="11" bestFit="1" customWidth="1"/>
    <col min="177" max="180" width="12" bestFit="1" customWidth="1"/>
    <col min="181" max="181" width="12.42578125" bestFit="1" customWidth="1"/>
    <col min="182" max="186" width="12" bestFit="1" customWidth="1"/>
    <col min="187" max="187" width="11.42578125" bestFit="1" customWidth="1"/>
    <col min="188" max="194" width="12" bestFit="1" customWidth="1"/>
    <col min="195" max="195" width="10.28515625" bestFit="1" customWidth="1"/>
    <col min="196" max="197" width="12" bestFit="1" customWidth="1"/>
    <col min="198" max="198" width="10.28515625" bestFit="1" customWidth="1"/>
    <col min="199" max="199" width="12.42578125" bestFit="1" customWidth="1"/>
    <col min="200" max="200" width="7.140625" bestFit="1" customWidth="1"/>
    <col min="201" max="201" width="22.28515625" bestFit="1" customWidth="1"/>
    <col min="202" max="202" width="17.28515625" bestFit="1" customWidth="1"/>
    <col min="203" max="203" width="16" bestFit="1" customWidth="1"/>
    <col min="204" max="204" width="26.28515625" bestFit="1" customWidth="1"/>
  </cols>
  <sheetData>
    <row r="1" spans="12:67" ht="15.75" thickBot="1"/>
    <row r="2" spans="12:67" ht="15.75" thickBot="1">
      <c r="L2" s="11" t="s">
        <v>473</v>
      </c>
      <c r="M2" t="s">
        <v>474</v>
      </c>
      <c r="X2" s="11" t="s">
        <v>473</v>
      </c>
      <c r="Y2" t="s">
        <v>474</v>
      </c>
      <c r="BK2" s="299" t="s">
        <v>475</v>
      </c>
      <c r="BL2" s="300"/>
      <c r="BM2" s="301"/>
      <c r="BN2" s="299" t="s">
        <v>476</v>
      </c>
      <c r="BO2" s="301"/>
    </row>
    <row r="3" spans="12:67" ht="15.75" thickBot="1">
      <c r="L3" s="34" t="s">
        <v>477</v>
      </c>
      <c r="M3" s="12">
        <v>121520.72</v>
      </c>
      <c r="X3" s="34" t="s">
        <v>478</v>
      </c>
      <c r="Y3" s="12">
        <v>99368.17</v>
      </c>
      <c r="Z3" s="12"/>
      <c r="AL3" s="11" t="s">
        <v>474</v>
      </c>
      <c r="AM3" s="11" t="s">
        <v>479</v>
      </c>
      <c r="AX3" s="11" t="s">
        <v>473</v>
      </c>
      <c r="AY3" t="s">
        <v>474</v>
      </c>
      <c r="BI3" s="105" t="s">
        <v>473</v>
      </c>
      <c r="BJ3" s="99" t="s">
        <v>474</v>
      </c>
      <c r="BK3" s="98" t="s">
        <v>480</v>
      </c>
      <c r="BL3" s="98" t="s">
        <v>481</v>
      </c>
      <c r="BM3" s="103" t="s">
        <v>482</v>
      </c>
      <c r="BN3" s="98" t="s">
        <v>483</v>
      </c>
      <c r="BO3" s="125" t="s">
        <v>484</v>
      </c>
    </row>
    <row r="4" spans="12:67" ht="15.75" thickBot="1">
      <c r="L4" s="34" t="s">
        <v>485</v>
      </c>
      <c r="M4" s="12">
        <v>24594.22</v>
      </c>
      <c r="X4" s="35" t="s">
        <v>63</v>
      </c>
      <c r="Y4" s="12">
        <v>99368.17</v>
      </c>
      <c r="Z4" s="12"/>
      <c r="AL4" s="11" t="s">
        <v>473</v>
      </c>
      <c r="AM4" s="28" t="s">
        <v>93</v>
      </c>
      <c r="AN4" s="28" t="s">
        <v>53</v>
      </c>
      <c r="AO4" t="s">
        <v>486</v>
      </c>
      <c r="AP4" s="28" t="s">
        <v>296</v>
      </c>
      <c r="AX4" s="34" t="s">
        <v>478</v>
      </c>
      <c r="AY4" s="12">
        <v>99368.17</v>
      </c>
      <c r="BI4" s="113" t="s">
        <v>57</v>
      </c>
      <c r="BJ4" s="110">
        <v>144380.82</v>
      </c>
      <c r="BK4" s="111">
        <v>137125.94999999998</v>
      </c>
      <c r="BL4" s="111">
        <v>7254.87014</v>
      </c>
      <c r="BM4" s="112">
        <v>5.024815719982751E-2</v>
      </c>
      <c r="BN4" s="111">
        <v>137125.94999999998</v>
      </c>
      <c r="BO4" s="126">
        <v>5.024815719982751E-2</v>
      </c>
    </row>
    <row r="5" spans="12:67" ht="15.75" thickBot="1">
      <c r="L5" s="34" t="s">
        <v>112</v>
      </c>
      <c r="M5" s="12">
        <v>129479.33000000002</v>
      </c>
      <c r="X5" s="34" t="s">
        <v>297</v>
      </c>
      <c r="Y5" s="12">
        <v>1055711.21</v>
      </c>
      <c r="Z5" s="12"/>
      <c r="AL5" s="34" t="s">
        <v>487</v>
      </c>
      <c r="AM5" s="12"/>
      <c r="AN5" s="12"/>
      <c r="AO5" s="12"/>
      <c r="AP5" s="12"/>
      <c r="AX5" s="35" t="s">
        <v>328</v>
      </c>
      <c r="AY5" s="12">
        <v>99368.17</v>
      </c>
      <c r="BI5" s="107" t="s">
        <v>301</v>
      </c>
      <c r="BJ5" s="104">
        <v>144380.82</v>
      </c>
      <c r="BK5" s="12">
        <v>137125.94999999998</v>
      </c>
      <c r="BL5" s="12">
        <v>7254.87014</v>
      </c>
      <c r="BM5" s="100">
        <v>5.024815719982751E-2</v>
      </c>
      <c r="BN5" s="12">
        <v>137125.94999999998</v>
      </c>
      <c r="BO5" s="127">
        <v>5.024815719982751E-2</v>
      </c>
    </row>
    <row r="6" spans="12:67" ht="15.75" thickBot="1">
      <c r="L6" s="34" t="s">
        <v>381</v>
      </c>
      <c r="M6" s="12">
        <v>58968.959999999999</v>
      </c>
      <c r="X6" s="35" t="s">
        <v>57</v>
      </c>
      <c r="Y6" s="12">
        <v>144380.82</v>
      </c>
      <c r="Z6" s="12"/>
      <c r="AL6" s="34" t="s">
        <v>297</v>
      </c>
      <c r="AM6" s="12">
        <v>713735.44000000006</v>
      </c>
      <c r="AN6" s="12">
        <v>9715</v>
      </c>
      <c r="AO6" s="12"/>
      <c r="AP6" s="12">
        <v>723450.44000000006</v>
      </c>
      <c r="AX6" s="34" t="s">
        <v>297</v>
      </c>
      <c r="AY6" s="12">
        <v>989731.15999999992</v>
      </c>
      <c r="BI6" s="113" t="s">
        <v>44</v>
      </c>
      <c r="BJ6" s="114">
        <v>161664.04999999999</v>
      </c>
      <c r="BK6" s="210">
        <v>128823.86</v>
      </c>
      <c r="BL6" s="210">
        <v>32840.19</v>
      </c>
      <c r="BM6" s="102">
        <v>0.20313848378783042</v>
      </c>
      <c r="BN6" s="210">
        <v>121299.90999999999</v>
      </c>
      <c r="BO6" s="128">
        <v>0.2496791339818594</v>
      </c>
    </row>
    <row r="7" spans="12:67">
      <c r="L7" s="34" t="s">
        <v>108</v>
      </c>
      <c r="M7" s="12">
        <v>398646.37</v>
      </c>
      <c r="X7" s="35" t="s">
        <v>44</v>
      </c>
      <c r="Y7" s="12">
        <v>161664.04999999999</v>
      </c>
      <c r="Z7" s="12"/>
      <c r="AL7" s="35" t="s">
        <v>298</v>
      </c>
      <c r="AM7" s="12">
        <v>99368.17</v>
      </c>
      <c r="AN7" s="12"/>
      <c r="AO7" s="12"/>
      <c r="AP7" s="12">
        <v>99368.17</v>
      </c>
      <c r="AX7" s="35" t="s">
        <v>298</v>
      </c>
      <c r="AY7" s="12">
        <v>9747.4699999999993</v>
      </c>
      <c r="BI7" s="108" t="s">
        <v>349</v>
      </c>
      <c r="BJ7" s="104">
        <v>38964.870000000003</v>
      </c>
      <c r="BK7" s="12">
        <v>33882.49</v>
      </c>
      <c r="BL7" s="12">
        <v>5082.3800000000047</v>
      </c>
      <c r="BM7" s="100">
        <v>0.13043492766689596</v>
      </c>
      <c r="BN7" s="12">
        <v>33882.49</v>
      </c>
      <c r="BO7" s="127">
        <v>0.13043492766689596</v>
      </c>
    </row>
    <row r="8" spans="12:67">
      <c r="L8" s="34" t="s">
        <v>452</v>
      </c>
      <c r="M8" s="12">
        <v>13007.8</v>
      </c>
      <c r="X8" s="35" t="s">
        <v>63</v>
      </c>
      <c r="Y8" s="12">
        <v>736513.37</v>
      </c>
      <c r="Z8" s="12"/>
      <c r="AL8" s="35" t="s">
        <v>300</v>
      </c>
      <c r="AM8" s="12">
        <v>148769.07</v>
      </c>
      <c r="AN8" s="12"/>
      <c r="AO8" s="12"/>
      <c r="AP8" s="12">
        <v>148769.07</v>
      </c>
      <c r="AX8" s="35" t="s">
        <v>341</v>
      </c>
      <c r="AY8" s="12">
        <v>68407.350000000006</v>
      </c>
      <c r="BI8" s="101" t="s">
        <v>302</v>
      </c>
      <c r="BJ8" s="104">
        <v>14104.18</v>
      </c>
      <c r="BK8" s="12">
        <v>13631.37</v>
      </c>
      <c r="BL8" s="12">
        <v>472.81</v>
      </c>
      <c r="BM8" s="100">
        <v>3.3522686182394158E-2</v>
      </c>
      <c r="BN8" s="12">
        <v>13631.37</v>
      </c>
      <c r="BO8" s="127">
        <v>3.3522686182394158E-2</v>
      </c>
    </row>
    <row r="9" spans="12:67" ht="15.75" thickBot="1">
      <c r="L9" s="34" t="s">
        <v>488</v>
      </c>
      <c r="M9" s="12">
        <v>14104.18</v>
      </c>
      <c r="X9" s="35" t="s">
        <v>191</v>
      </c>
      <c r="Y9" s="12">
        <v>3437.9700000000003</v>
      </c>
      <c r="Z9" s="12"/>
      <c r="AL9" s="35" t="s">
        <v>304</v>
      </c>
      <c r="AM9" s="12">
        <v>86700.41</v>
      </c>
      <c r="AN9" s="12"/>
      <c r="AO9" s="12"/>
      <c r="AP9" s="12">
        <v>86700.41</v>
      </c>
      <c r="AX9" s="35" t="s">
        <v>300</v>
      </c>
      <c r="AY9" s="12">
        <v>146569.07</v>
      </c>
      <c r="BI9" s="109" t="s">
        <v>305</v>
      </c>
      <c r="BJ9" s="104">
        <v>24479.11</v>
      </c>
      <c r="BK9" s="12">
        <v>20009.259999999998</v>
      </c>
      <c r="BL9" s="12">
        <v>4469.8500000000004</v>
      </c>
      <c r="BM9" s="100">
        <v>0.18259855035579317</v>
      </c>
      <c r="BN9" s="12">
        <v>20009.259999999998</v>
      </c>
      <c r="BO9" s="127">
        <v>0.18259855035579317</v>
      </c>
    </row>
    <row r="10" spans="12:67">
      <c r="L10" s="34" t="s">
        <v>415</v>
      </c>
      <c r="M10" s="12">
        <v>117000.87</v>
      </c>
      <c r="X10" s="35" t="s">
        <v>489</v>
      </c>
      <c r="Y10" s="12">
        <v>9715</v>
      </c>
      <c r="Z10" s="12"/>
      <c r="AL10" s="35" t="s">
        <v>307</v>
      </c>
      <c r="AM10" s="12">
        <v>27834.02</v>
      </c>
      <c r="AN10" s="12"/>
      <c r="AO10" s="12"/>
      <c r="AP10" s="12">
        <v>27834.02</v>
      </c>
      <c r="AX10" s="35" t="s">
        <v>391</v>
      </c>
      <c r="AY10" s="12">
        <v>79093.200000000012</v>
      </c>
      <c r="BI10" s="101" t="s">
        <v>339</v>
      </c>
      <c r="BJ10" s="104">
        <v>27908.32</v>
      </c>
      <c r="BK10" s="200">
        <v>12424.6</v>
      </c>
      <c r="BL10" s="12">
        <v>15483.72</v>
      </c>
      <c r="BM10" s="100">
        <v>0.55480659530921239</v>
      </c>
      <c r="BN10" s="12">
        <v>4900.6499999999987</v>
      </c>
      <c r="BO10" s="127">
        <v>0.82440182712538779</v>
      </c>
    </row>
    <row r="11" spans="12:67">
      <c r="L11" s="34" t="s">
        <v>444</v>
      </c>
      <c r="M11" s="12">
        <v>86005.32</v>
      </c>
      <c r="X11" s="34" t="s">
        <v>296</v>
      </c>
      <c r="Y11" s="12">
        <v>1155079.3799999999</v>
      </c>
      <c r="Z11" s="12"/>
      <c r="AL11" s="35" t="s">
        <v>310</v>
      </c>
      <c r="AM11" s="12">
        <v>55245.23</v>
      </c>
      <c r="AN11" s="12"/>
      <c r="AO11" s="12"/>
      <c r="AP11" s="12">
        <v>55245.23</v>
      </c>
      <c r="AX11" s="35" t="s">
        <v>304</v>
      </c>
      <c r="AY11" s="12">
        <v>20493.060000000001</v>
      </c>
      <c r="BI11" s="101" t="s">
        <v>346</v>
      </c>
      <c r="BJ11" s="104">
        <v>14569.68</v>
      </c>
      <c r="BK11" s="200">
        <v>12669.28</v>
      </c>
      <c r="BL11" s="12">
        <v>1900.3999999999996</v>
      </c>
      <c r="BM11" s="100">
        <v>0.13043526007434614</v>
      </c>
      <c r="BN11" s="12">
        <v>12669.28</v>
      </c>
      <c r="BO11" s="127">
        <v>0.13043526007434614</v>
      </c>
    </row>
    <row r="12" spans="12:67" ht="15.75" thickBot="1">
      <c r="L12" s="34" t="s">
        <v>351</v>
      </c>
      <c r="M12" s="12">
        <v>9747.4699999999993</v>
      </c>
      <c r="AL12" s="35" t="s">
        <v>312</v>
      </c>
      <c r="AM12" s="12">
        <v>46102.75</v>
      </c>
      <c r="AN12" s="12"/>
      <c r="AO12" s="12"/>
      <c r="AP12" s="12">
        <v>46102.75</v>
      </c>
      <c r="AX12" s="35" t="s">
        <v>307</v>
      </c>
      <c r="AY12" s="12">
        <v>187200.78999999998</v>
      </c>
      <c r="BI12" s="101" t="s">
        <v>348</v>
      </c>
      <c r="BJ12" s="104">
        <v>41637.89</v>
      </c>
      <c r="BK12" s="200">
        <v>36206.86</v>
      </c>
      <c r="BL12" s="12">
        <v>5431.0299999999988</v>
      </c>
      <c r="BM12" s="100">
        <v>0.13043480349268416</v>
      </c>
      <c r="BN12" s="12">
        <v>36206.86</v>
      </c>
      <c r="BO12" s="127">
        <v>0.13043480349268416</v>
      </c>
    </row>
    <row r="13" spans="12:67" ht="15.75" thickBot="1">
      <c r="L13" s="34" t="s">
        <v>248</v>
      </c>
      <c r="M13" s="12">
        <v>9715</v>
      </c>
      <c r="AL13" s="35" t="s">
        <v>315</v>
      </c>
      <c r="AM13" s="12">
        <v>195704.15000000002</v>
      </c>
      <c r="AN13" s="12"/>
      <c r="AO13" s="12"/>
      <c r="AP13" s="12">
        <v>195704.15000000002</v>
      </c>
      <c r="AX13" s="35" t="s">
        <v>310</v>
      </c>
      <c r="AY13" s="12">
        <v>18127.3</v>
      </c>
      <c r="BI13" s="113" t="s">
        <v>63</v>
      </c>
      <c r="BJ13" s="114">
        <v>835881.53999999992</v>
      </c>
      <c r="BK13" s="210">
        <v>505562.25999999995</v>
      </c>
      <c r="BL13" s="210">
        <v>330319.27900000004</v>
      </c>
      <c r="BM13" s="102">
        <v>0.39517475047959566</v>
      </c>
      <c r="BN13" s="210">
        <v>333457.82999999996</v>
      </c>
      <c r="BO13" s="128">
        <v>0.60107046866952019</v>
      </c>
    </row>
    <row r="14" spans="12:67">
      <c r="L14" s="34" t="s">
        <v>240</v>
      </c>
      <c r="M14" s="12">
        <v>144380.82</v>
      </c>
      <c r="AL14" s="35" t="s">
        <v>322</v>
      </c>
      <c r="AM14" s="12">
        <v>49809.67</v>
      </c>
      <c r="AN14" s="12"/>
      <c r="AO14" s="12"/>
      <c r="AP14" s="12">
        <v>49809.67</v>
      </c>
      <c r="AX14" s="35" t="s">
        <v>312</v>
      </c>
      <c r="AY14" s="12">
        <v>62368.57</v>
      </c>
      <c r="BI14" s="108" t="s">
        <v>299</v>
      </c>
      <c r="BJ14" s="104">
        <v>117000.87</v>
      </c>
      <c r="BK14" s="12">
        <v>82213.11</v>
      </c>
      <c r="BL14" s="12">
        <v>34787.760000000002</v>
      </c>
      <c r="BM14" s="100">
        <v>0.29732907114280432</v>
      </c>
      <c r="BN14" s="12">
        <v>87966.37</v>
      </c>
      <c r="BO14" s="127">
        <v>0.24815627439351526</v>
      </c>
    </row>
    <row r="15" spans="12:67">
      <c r="L15" s="34" t="s">
        <v>486</v>
      </c>
      <c r="M15" s="12"/>
      <c r="AL15" s="35" t="s">
        <v>325</v>
      </c>
      <c r="AM15" s="12">
        <v>1781.97</v>
      </c>
      <c r="AN15" s="12"/>
      <c r="AO15" s="12"/>
      <c r="AP15" s="12">
        <v>1781.97</v>
      </c>
      <c r="AX15" s="35" t="s">
        <v>315</v>
      </c>
      <c r="AY15" s="12">
        <v>107959.9</v>
      </c>
      <c r="BI15" s="101" t="s">
        <v>306</v>
      </c>
      <c r="BJ15" s="104">
        <v>66207.350000000006</v>
      </c>
      <c r="BK15" s="12">
        <v>35591.9</v>
      </c>
      <c r="BL15" s="12">
        <v>30615.45</v>
      </c>
      <c r="BM15" s="100">
        <v>0.46241769229549284</v>
      </c>
      <c r="BN15" s="12">
        <v>30266.510000000002</v>
      </c>
      <c r="BO15" s="127">
        <v>0.54285271952434277</v>
      </c>
    </row>
    <row r="16" spans="12:67">
      <c r="L16" s="34" t="s">
        <v>75</v>
      </c>
      <c r="M16" s="12">
        <v>27908.32</v>
      </c>
      <c r="AL16" s="35" t="s">
        <v>328</v>
      </c>
      <c r="AM16" s="12">
        <v>2420</v>
      </c>
      <c r="AN16" s="12">
        <v>9715</v>
      </c>
      <c r="AO16" s="12"/>
      <c r="AP16" s="12">
        <v>12135</v>
      </c>
      <c r="AX16" s="35" t="s">
        <v>322</v>
      </c>
      <c r="AY16" s="12">
        <v>157717.85999999999</v>
      </c>
      <c r="BI16" s="101" t="s">
        <v>303</v>
      </c>
      <c r="BJ16" s="104">
        <v>4620</v>
      </c>
      <c r="BK16" s="12">
        <v>0</v>
      </c>
      <c r="BL16" s="12">
        <v>4620</v>
      </c>
      <c r="BM16" s="100">
        <v>1</v>
      </c>
      <c r="BN16" s="12">
        <v>0</v>
      </c>
      <c r="BO16" s="127">
        <v>1</v>
      </c>
    </row>
    <row r="17" spans="12:67">
      <c r="L17" s="34" t="s">
        <v>296</v>
      </c>
      <c r="M17" s="12">
        <v>1155079.3800000004</v>
      </c>
      <c r="AL17" s="34" t="s">
        <v>331</v>
      </c>
      <c r="AM17" s="12"/>
      <c r="AN17" s="12">
        <v>431628.94</v>
      </c>
      <c r="AO17" s="12"/>
      <c r="AP17" s="12">
        <v>431628.94</v>
      </c>
      <c r="AX17" s="35" t="s">
        <v>325</v>
      </c>
      <c r="AY17" s="12">
        <v>132046.59</v>
      </c>
      <c r="BI17" s="101" t="s">
        <v>308</v>
      </c>
      <c r="BJ17" s="104">
        <v>2459</v>
      </c>
      <c r="BK17" s="12">
        <v>39</v>
      </c>
      <c r="BL17" s="12">
        <v>2420</v>
      </c>
      <c r="BM17" s="100">
        <v>0.98413989426596182</v>
      </c>
      <c r="BN17" s="12">
        <v>42.01</v>
      </c>
      <c r="BO17" s="127">
        <v>0.98291581943879613</v>
      </c>
    </row>
    <row r="18" spans="12:67">
      <c r="AL18" s="35" t="s">
        <v>298</v>
      </c>
      <c r="AM18" s="12"/>
      <c r="AN18" s="12">
        <v>190593.62</v>
      </c>
      <c r="AO18" s="12"/>
      <c r="AP18" s="12">
        <v>190593.62</v>
      </c>
      <c r="AX18" s="34" t="s">
        <v>296</v>
      </c>
      <c r="AY18" s="12">
        <v>1089099.33</v>
      </c>
      <c r="BI18" s="101" t="s">
        <v>311</v>
      </c>
      <c r="BJ18" s="104">
        <v>55245.23</v>
      </c>
      <c r="BK18" s="12">
        <v>29361.5</v>
      </c>
      <c r="BL18" s="12">
        <v>25883.73</v>
      </c>
      <c r="BM18" s="100">
        <v>0.46852425087197569</v>
      </c>
      <c r="BN18" s="12">
        <v>31861.79</v>
      </c>
      <c r="BO18" s="127">
        <v>0.42326622588049678</v>
      </c>
    </row>
    <row r="19" spans="12:67">
      <c r="AL19" s="35" t="s">
        <v>341</v>
      </c>
      <c r="AM19" s="12"/>
      <c r="AN19" s="12">
        <v>202070.45</v>
      </c>
      <c r="AO19" s="12"/>
      <c r="AP19" s="12">
        <v>202070.45</v>
      </c>
      <c r="BI19" s="101" t="s">
        <v>317</v>
      </c>
      <c r="BJ19" s="104">
        <v>47048.77</v>
      </c>
      <c r="BK19" s="12">
        <v>24599.05</v>
      </c>
      <c r="BL19" s="12">
        <v>22449.72</v>
      </c>
      <c r="BM19" s="100">
        <v>0.47715848894668239</v>
      </c>
      <c r="BN19" s="12">
        <v>23989.19</v>
      </c>
      <c r="BO19" s="127">
        <v>0.49012078317881641</v>
      </c>
    </row>
    <row r="20" spans="12:67">
      <c r="AL20" s="35" t="s">
        <v>300</v>
      </c>
      <c r="AM20" s="12"/>
      <c r="AN20" s="12">
        <v>38964.870000000003</v>
      </c>
      <c r="AO20" s="12"/>
      <c r="AP20" s="12">
        <v>38964.870000000003</v>
      </c>
      <c r="BI20" s="101" t="s">
        <v>323</v>
      </c>
      <c r="BJ20" s="104">
        <v>21450.35</v>
      </c>
      <c r="BK20" s="12">
        <v>14544.05</v>
      </c>
      <c r="BL20" s="12">
        <v>6906.3</v>
      </c>
      <c r="BM20" s="100">
        <v>0.321966774434916</v>
      </c>
      <c r="BN20" s="12">
        <v>15275.349999999999</v>
      </c>
      <c r="BO20" s="127">
        <v>0.28787409063255387</v>
      </c>
    </row>
    <row r="21" spans="12:67">
      <c r="AL21" s="34" t="s">
        <v>296</v>
      </c>
      <c r="AM21" s="12">
        <v>713735.44000000006</v>
      </c>
      <c r="AN21" s="12">
        <v>441343.94</v>
      </c>
      <c r="AO21" s="12"/>
      <c r="AP21" s="12">
        <v>1155079.3800000001</v>
      </c>
      <c r="BI21" s="101" t="s">
        <v>313</v>
      </c>
      <c r="BJ21" s="104">
        <v>4920</v>
      </c>
      <c r="BK21" s="12">
        <v>300</v>
      </c>
      <c r="BL21" s="12">
        <v>4620</v>
      </c>
      <c r="BM21" s="100">
        <v>0.93902439024390238</v>
      </c>
      <c r="BN21" s="12">
        <v>0</v>
      </c>
      <c r="BO21" s="127">
        <v>1</v>
      </c>
    </row>
    <row r="22" spans="12:67">
      <c r="BI22" s="101" t="s">
        <v>324</v>
      </c>
      <c r="BJ22" s="104">
        <v>28359.32</v>
      </c>
      <c r="BK22" s="12">
        <v>16902.009999999998</v>
      </c>
      <c r="BL22" s="12">
        <v>11457.31</v>
      </c>
      <c r="BM22" s="100">
        <v>0.40400510308427706</v>
      </c>
      <c r="BN22" s="12">
        <v>16981.05</v>
      </c>
      <c r="BO22" s="127">
        <v>0.40121801227956094</v>
      </c>
    </row>
    <row r="23" spans="12:67">
      <c r="BI23" s="122" t="s">
        <v>334</v>
      </c>
      <c r="BJ23" s="123">
        <v>48821.75</v>
      </c>
      <c r="BK23" s="212">
        <v>26692.5</v>
      </c>
      <c r="BL23" s="212">
        <v>22129.25</v>
      </c>
      <c r="BM23" s="124">
        <v>0.45326621843747922</v>
      </c>
      <c r="BN23" s="212">
        <v>0</v>
      </c>
      <c r="BO23" s="131">
        <v>1</v>
      </c>
    </row>
    <row r="24" spans="12:67">
      <c r="BI24" s="101" t="s">
        <v>318</v>
      </c>
      <c r="BJ24" s="104">
        <v>55646.1</v>
      </c>
      <c r="BK24" s="12">
        <v>55646.1</v>
      </c>
      <c r="BL24" s="12">
        <v>0</v>
      </c>
      <c r="BM24" s="100">
        <v>0</v>
      </c>
      <c r="BN24" s="12">
        <v>55646.1</v>
      </c>
      <c r="BO24" s="127">
        <v>0</v>
      </c>
    </row>
    <row r="25" spans="12:67">
      <c r="BI25" s="101" t="s">
        <v>314</v>
      </c>
      <c r="BJ25" s="104">
        <v>51812.92</v>
      </c>
      <c r="BK25" s="12">
        <v>24028.559999999998</v>
      </c>
      <c r="BL25" s="12">
        <v>27784.36</v>
      </c>
      <c r="BM25" s="100">
        <v>0.53624385577960099</v>
      </c>
      <c r="BN25" s="12">
        <v>19022</v>
      </c>
      <c r="BO25" s="127">
        <v>0.63287149228416384</v>
      </c>
    </row>
    <row r="26" spans="12:67">
      <c r="BI26" s="122" t="s">
        <v>336</v>
      </c>
      <c r="BJ26" s="123">
        <v>77666.41</v>
      </c>
      <c r="BK26" s="212">
        <v>46399.93</v>
      </c>
      <c r="BL26" s="212">
        <v>31266.478999999999</v>
      </c>
      <c r="BM26" s="124">
        <v>0.40257402138195902</v>
      </c>
      <c r="BN26" s="212">
        <v>0</v>
      </c>
      <c r="BO26" s="131">
        <v>0.99999998712442095</v>
      </c>
    </row>
    <row r="27" spans="12:67">
      <c r="BI27" s="101" t="s">
        <v>309</v>
      </c>
      <c r="BJ27" s="104">
        <v>21388.97</v>
      </c>
      <c r="BK27" s="12">
        <v>13177.11</v>
      </c>
      <c r="BL27" s="12">
        <v>8211.86</v>
      </c>
      <c r="BM27" s="100">
        <v>0.38392966094206499</v>
      </c>
      <c r="BN27" s="12">
        <v>12800.060000000001</v>
      </c>
      <c r="BO27" s="127">
        <v>0.40155790578040923</v>
      </c>
    </row>
    <row r="28" spans="12:67">
      <c r="BI28" s="101" t="s">
        <v>319</v>
      </c>
      <c r="BJ28" s="104">
        <v>28419.21</v>
      </c>
      <c r="BK28" s="12">
        <v>16945.38</v>
      </c>
      <c r="BL28" s="12">
        <v>11473.83</v>
      </c>
      <c r="BM28" s="100">
        <v>0.40373500881973851</v>
      </c>
      <c r="BN28" s="12">
        <v>15784</v>
      </c>
      <c r="BO28" s="127">
        <v>0.44460102867039586</v>
      </c>
    </row>
    <row r="29" spans="12:67">
      <c r="BI29" s="101" t="s">
        <v>337</v>
      </c>
      <c r="BJ29" s="104">
        <v>36197.14</v>
      </c>
      <c r="BK29" s="12">
        <v>22197.38</v>
      </c>
      <c r="BL29" s="12">
        <v>13999.759999999998</v>
      </c>
      <c r="BM29" s="100">
        <v>0.38676425817067311</v>
      </c>
      <c r="BN29" s="12">
        <v>17194.040000000005</v>
      </c>
      <c r="BO29" s="127">
        <v>0.52498899084292283</v>
      </c>
    </row>
    <row r="30" spans="12:67" ht="15.75" thickBot="1">
      <c r="BI30" s="109" t="s">
        <v>320</v>
      </c>
      <c r="BJ30" s="104">
        <v>13007.8</v>
      </c>
      <c r="BK30" s="12">
        <v>6000</v>
      </c>
      <c r="BL30" s="12">
        <v>7007.8</v>
      </c>
      <c r="BM30" s="100">
        <v>0.53873829548424801</v>
      </c>
      <c r="BN30" s="12">
        <v>5700</v>
      </c>
      <c r="BO30" s="127">
        <v>0.5618013807100356</v>
      </c>
    </row>
    <row r="31" spans="12:67">
      <c r="BI31" s="122" t="s">
        <v>344</v>
      </c>
      <c r="BJ31" s="123">
        <v>121520.72</v>
      </c>
      <c r="BK31" s="211">
        <v>75659.09</v>
      </c>
      <c r="BL31" s="212">
        <v>45861.63</v>
      </c>
      <c r="BM31" s="124">
        <v>0.3773976158139945</v>
      </c>
      <c r="BN31" s="212">
        <v>0</v>
      </c>
      <c r="BO31" s="131">
        <v>1</v>
      </c>
    </row>
    <row r="32" spans="12:67">
      <c r="BI32" s="101" t="s">
        <v>321</v>
      </c>
      <c r="BJ32" s="104">
        <v>9747.4699999999993</v>
      </c>
      <c r="BK32" s="200">
        <v>1037.69</v>
      </c>
      <c r="BL32" s="12">
        <v>8709.7800000000007</v>
      </c>
      <c r="BM32" s="100">
        <v>0.89354263208812146</v>
      </c>
      <c r="BN32" s="12">
        <v>929.36</v>
      </c>
      <c r="BO32" s="127">
        <v>0.90465628516938257</v>
      </c>
    </row>
    <row r="33" spans="61:67" ht="15.75" thickBot="1">
      <c r="BI33" s="122" t="s">
        <v>347</v>
      </c>
      <c r="BJ33" s="123">
        <v>24342.159999999996</v>
      </c>
      <c r="BK33" s="211">
        <v>14227.9</v>
      </c>
      <c r="BL33" s="212">
        <v>10114.259999999998</v>
      </c>
      <c r="BM33" s="124">
        <v>0.41550380081307492</v>
      </c>
      <c r="BN33" s="212">
        <v>0</v>
      </c>
      <c r="BO33" s="131">
        <v>1</v>
      </c>
    </row>
    <row r="34" spans="61:67" ht="15.75" thickBot="1">
      <c r="BI34" s="113" t="s">
        <v>191</v>
      </c>
      <c r="BJ34" s="115">
        <v>3437.9700000000003</v>
      </c>
      <c r="BK34" s="116">
        <v>3204.3799999999997</v>
      </c>
      <c r="BL34" s="116">
        <v>233.59000000000032</v>
      </c>
      <c r="BM34" s="117">
        <v>6.794416472511404E-2</v>
      </c>
      <c r="BN34" s="116">
        <v>3179.43</v>
      </c>
      <c r="BO34" s="129">
        <v>7.5201354287559266E-2</v>
      </c>
    </row>
    <row r="35" spans="61:67" ht="15.75" thickBot="1">
      <c r="BI35" s="107" t="s">
        <v>316</v>
      </c>
      <c r="BJ35" s="104">
        <v>1656</v>
      </c>
      <c r="BK35" s="12">
        <v>1656</v>
      </c>
      <c r="BL35" s="12">
        <v>0</v>
      </c>
      <c r="BM35" s="100">
        <v>0</v>
      </c>
      <c r="BN35" s="12">
        <v>1656</v>
      </c>
      <c r="BO35" s="127">
        <v>0</v>
      </c>
    </row>
    <row r="36" spans="61:67">
      <c r="BI36" s="101" t="s">
        <v>326</v>
      </c>
      <c r="BJ36" s="104">
        <v>1666.8600000000001</v>
      </c>
      <c r="BK36" s="200">
        <v>1449.4499999999998</v>
      </c>
      <c r="BL36" s="12">
        <v>217.41000000000031</v>
      </c>
      <c r="BM36" s="100">
        <v>0.13043087001907797</v>
      </c>
      <c r="BN36" s="12">
        <v>1449.45</v>
      </c>
      <c r="BO36" s="127">
        <v>0.13043087001907783</v>
      </c>
    </row>
    <row r="37" spans="61:67" ht="15.75" thickBot="1">
      <c r="BI37" s="101" t="s">
        <v>327</v>
      </c>
      <c r="BJ37" s="104">
        <v>115.11</v>
      </c>
      <c r="BK37" s="200">
        <v>98.93</v>
      </c>
      <c r="BL37" s="12">
        <v>16.18</v>
      </c>
      <c r="BM37" s="100">
        <v>0.14056120232820779</v>
      </c>
      <c r="BN37" s="12">
        <v>73.97999999999999</v>
      </c>
      <c r="BO37" s="127">
        <v>0.35731039874902282</v>
      </c>
    </row>
    <row r="38" spans="61:67" ht="15.75" thickBot="1">
      <c r="BI38" s="113" t="s">
        <v>489</v>
      </c>
      <c r="BJ38" s="114">
        <v>9715</v>
      </c>
      <c r="BK38" s="210">
        <v>9229.25</v>
      </c>
      <c r="BL38" s="210">
        <v>485.75</v>
      </c>
      <c r="BM38" s="102">
        <v>0.05</v>
      </c>
      <c r="BN38" s="210">
        <v>9229.25</v>
      </c>
      <c r="BO38" s="128">
        <v>0.05</v>
      </c>
    </row>
    <row r="39" spans="61:67" ht="15.75" thickBot="1">
      <c r="BI39" s="107" t="s">
        <v>330</v>
      </c>
      <c r="BJ39" s="104">
        <v>9715</v>
      </c>
      <c r="BK39" s="12">
        <v>9229.25</v>
      </c>
      <c r="BL39" s="12">
        <v>485.75</v>
      </c>
      <c r="BM39" s="100">
        <v>0.05</v>
      </c>
      <c r="BN39" s="12">
        <v>9229.25</v>
      </c>
      <c r="BO39" s="127">
        <v>0.05</v>
      </c>
    </row>
    <row r="40" spans="61:67" ht="15.75" thickBot="1">
      <c r="BI40" s="106" t="s">
        <v>296</v>
      </c>
      <c r="BJ40" s="118">
        <v>1155079.3800000001</v>
      </c>
      <c r="BK40" s="119">
        <v>783945.70000000007</v>
      </c>
      <c r="BL40" s="120">
        <v>371133.67913999996</v>
      </c>
      <c r="BM40" s="121">
        <v>0.32130577825742163</v>
      </c>
      <c r="BN40" s="120">
        <v>604292.37</v>
      </c>
      <c r="BO40" s="130">
        <v>0.47683909753457832</v>
      </c>
    </row>
    <row r="41" spans="61:67">
      <c r="BK41"/>
      <c r="BL41"/>
      <c r="BM41"/>
      <c r="BN41"/>
      <c r="BO41"/>
    </row>
    <row r="42" spans="61:67">
      <c r="BK42"/>
      <c r="BL42"/>
      <c r="BM42"/>
      <c r="BN42"/>
    </row>
    <row r="43" spans="61:67" ht="15.75" thickBot="1">
      <c r="BK43"/>
      <c r="BL43"/>
      <c r="BM43"/>
      <c r="BN43"/>
    </row>
    <row r="44" spans="61:67" ht="15.75" thickBot="1">
      <c r="BK44"/>
      <c r="BL44"/>
      <c r="BM44"/>
      <c r="BN44"/>
    </row>
    <row r="45" spans="61:67" ht="15.75" thickBot="1">
      <c r="BK45"/>
      <c r="BL45"/>
      <c r="BM45"/>
      <c r="BN45"/>
    </row>
    <row r="46" spans="61:67" ht="15.75" thickBot="1">
      <c r="BK46"/>
      <c r="BL46"/>
      <c r="BM46"/>
      <c r="BN46"/>
    </row>
    <row r="47" spans="61:67" ht="15.75" thickBot="1">
      <c r="BK47"/>
      <c r="BL47"/>
      <c r="BM47"/>
      <c r="BN47"/>
    </row>
    <row r="48" spans="61:67" ht="15.75" thickBot="1">
      <c r="BK48"/>
      <c r="BL48"/>
      <c r="BM48"/>
      <c r="BN48"/>
    </row>
    <row r="49" spans="67:67" customFormat="1">
      <c r="BO49" s="28"/>
    </row>
    <row r="50" spans="67:67" customFormat="1" ht="15.75" thickBot="1">
      <c r="BO50" s="28"/>
    </row>
    <row r="51" spans="67:67" customFormat="1" ht="15.75" thickBot="1">
      <c r="BO51" s="28"/>
    </row>
    <row r="52" spans="67:67" customFormat="1" ht="15.75" thickBot="1">
      <c r="BO52" s="28"/>
    </row>
    <row r="53" spans="67:67" customFormat="1" ht="15.75" thickBot="1">
      <c r="BO53" s="28"/>
    </row>
    <row r="54" spans="67:67" customFormat="1" ht="15.75" thickBot="1">
      <c r="BO54" s="28"/>
    </row>
    <row r="55" spans="67:67" customFormat="1" ht="15.75" thickBot="1">
      <c r="BO55" s="28"/>
    </row>
    <row r="56" spans="67:67" customFormat="1" ht="15.75" thickBot="1">
      <c r="BO56" s="28"/>
    </row>
    <row r="57" spans="67:67" customFormat="1" ht="15.75" thickBot="1">
      <c r="BO57" s="28"/>
    </row>
    <row r="58" spans="67:67" customFormat="1" ht="15.75" thickBot="1">
      <c r="BO58" s="28"/>
    </row>
    <row r="59" spans="67:67" customFormat="1" ht="15.75" thickBot="1">
      <c r="BO59" s="28"/>
    </row>
    <row r="60" spans="67:67" customFormat="1" ht="15.75" thickBot="1">
      <c r="BO60" s="28"/>
    </row>
    <row r="61" spans="67:67" customFormat="1" ht="15.75" thickBot="1">
      <c r="BO61" s="28"/>
    </row>
    <row r="62" spans="67:67" customFormat="1" ht="15.75" thickBot="1">
      <c r="BO62" s="28"/>
    </row>
    <row r="63" spans="67:67" customFormat="1" ht="15.75" thickBot="1">
      <c r="BO63" s="28"/>
    </row>
    <row r="64" spans="67:67" customFormat="1" ht="15.75" thickBot="1">
      <c r="BO64" s="28"/>
    </row>
    <row r="65" spans="63:66" ht="15.75" thickBot="1">
      <c r="BK65"/>
      <c r="BL65"/>
      <c r="BM65"/>
      <c r="BN65"/>
    </row>
    <row r="66" spans="63:66" ht="15.75" thickBot="1">
      <c r="BK66"/>
      <c r="BL66"/>
      <c r="BM66"/>
      <c r="BN66"/>
    </row>
    <row r="67" spans="63:66" ht="15.75" thickBot="1">
      <c r="BK67"/>
      <c r="BL67"/>
      <c r="BM67"/>
      <c r="BN67"/>
    </row>
    <row r="68" spans="63:66" ht="15.75" thickBot="1">
      <c r="BK68"/>
      <c r="BL68"/>
      <c r="BM68"/>
      <c r="BN68"/>
    </row>
    <row r="69" spans="63:66" ht="15.75" thickBot="1">
      <c r="BK69"/>
      <c r="BL69"/>
      <c r="BM69"/>
      <c r="BN69"/>
    </row>
    <row r="70" spans="63:66">
      <c r="BK70"/>
      <c r="BL70"/>
    </row>
    <row r="71" spans="63:66">
      <c r="BK71"/>
      <c r="BL71"/>
    </row>
    <row r="72" spans="63:66">
      <c r="BK72"/>
      <c r="BL72"/>
    </row>
    <row r="73" spans="63:66">
      <c r="BK73"/>
      <c r="BL73"/>
    </row>
    <row r="74" spans="63:66">
      <c r="BK74"/>
      <c r="BL74"/>
    </row>
    <row r="75" spans="63:66">
      <c r="BK75"/>
      <c r="BL75"/>
    </row>
    <row r="76" spans="63:66">
      <c r="BK76"/>
      <c r="BL76"/>
    </row>
    <row r="77" spans="63:66">
      <c r="BK77"/>
      <c r="BL77"/>
    </row>
    <row r="78" spans="63:66">
      <c r="BK78"/>
      <c r="BL78"/>
    </row>
    <row r="79" spans="63:66">
      <c r="BK79"/>
      <c r="BL79"/>
    </row>
    <row r="80" spans="63:66">
      <c r="BK80"/>
      <c r="BL80"/>
    </row>
    <row r="81" spans="63:64">
      <c r="BK81"/>
      <c r="BL81"/>
    </row>
    <row r="82" spans="63:64">
      <c r="BK82"/>
      <c r="BL82"/>
    </row>
    <row r="83" spans="63:64">
      <c r="BK83"/>
      <c r="BL83"/>
    </row>
    <row r="84" spans="63:64">
      <c r="BK84"/>
      <c r="BL84"/>
    </row>
    <row r="85" spans="63:64">
      <c r="BK85"/>
      <c r="BL85"/>
    </row>
    <row r="86" spans="63:64">
      <c r="BK86"/>
      <c r="BL86"/>
    </row>
    <row r="87" spans="63:64">
      <c r="BK87"/>
      <c r="BL87"/>
    </row>
    <row r="88" spans="63:64">
      <c r="BK88"/>
      <c r="BL88"/>
    </row>
    <row r="89" spans="63:64">
      <c r="BK89"/>
      <c r="BL89"/>
    </row>
    <row r="90" spans="63:64">
      <c r="BK90"/>
      <c r="BL90"/>
    </row>
    <row r="91" spans="63:64">
      <c r="BK91"/>
      <c r="BL91"/>
    </row>
    <row r="92" spans="63:64">
      <c r="BK92"/>
      <c r="BL92"/>
    </row>
    <row r="93" spans="63:64">
      <c r="BK93"/>
      <c r="BL93"/>
    </row>
    <row r="94" spans="63:64">
      <c r="BK94"/>
      <c r="BL94"/>
    </row>
    <row r="95" spans="63:64">
      <c r="BK95"/>
      <c r="BL95"/>
    </row>
    <row r="96" spans="63:64">
      <c r="BK96"/>
      <c r="BL96"/>
    </row>
    <row r="97" spans="63:64">
      <c r="BK97"/>
      <c r="BL97"/>
    </row>
  </sheetData>
  <mergeCells count="2">
    <mergeCell ref="BK2:BM2"/>
    <mergeCell ref="BN2:BO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EEF20-A2FB-4A30-9C33-7802E80C3894}">
  <sheetPr>
    <tabColor rgb="FF002060"/>
  </sheetPr>
  <dimension ref="A1:AQ231"/>
  <sheetViews>
    <sheetView showGridLines="0" zoomScale="115" zoomScaleNormal="115" workbookViewId="0">
      <pane ySplit="3" topLeftCell="A55" activePane="bottomLeft" state="frozen"/>
      <selection pane="bottomLeft" activeCell="AL3" sqref="K3:AL3"/>
      <selection activeCell="F29" sqref="F29"/>
    </sheetView>
  </sheetViews>
  <sheetFormatPr defaultColWidth="8.85546875" defaultRowHeight="15" outlineLevelCol="1"/>
  <cols>
    <col min="1" max="1" width="10.7109375" style="23" customWidth="1"/>
    <col min="2" max="2" width="10.28515625" style="1" bestFit="1" customWidth="1"/>
    <col min="3" max="3" width="24.85546875" style="1" bestFit="1" customWidth="1"/>
    <col min="4" max="4" width="16.7109375" style="39" customWidth="1" outlineLevel="1"/>
    <col min="5" max="5" width="13.7109375" style="1" customWidth="1" outlineLevel="1"/>
    <col min="6" max="6" width="12.42578125" style="1" customWidth="1" outlineLevel="1"/>
    <col min="7" max="7" width="47.7109375" style="1" customWidth="1"/>
    <col min="8" max="11" width="15.28515625" style="1" customWidth="1"/>
    <col min="12" max="12" width="16.5703125" style="7" customWidth="1"/>
    <col min="13" max="13" width="15.7109375" style="7" customWidth="1"/>
    <col min="14" max="14" width="12.140625" style="7" customWidth="1"/>
    <col min="15" max="15" width="13.28515625" style="7" customWidth="1"/>
    <col min="16" max="16" width="11.42578125" style="7" customWidth="1"/>
    <col min="17" max="17" width="8.7109375" style="7" customWidth="1"/>
    <col min="18" max="20" width="11.5703125" style="7" hidden="1" customWidth="1" outlineLevel="1"/>
    <col min="21" max="21" width="12.140625" style="7" hidden="1" customWidth="1" outlineLevel="1"/>
    <col min="22" max="32" width="11.5703125" style="7" hidden="1" customWidth="1" outlineLevel="1"/>
    <col min="33" max="33" width="12.28515625" style="9" customWidth="1" collapsed="1"/>
    <col min="34" max="34" width="11.28515625" style="227" customWidth="1"/>
    <col min="35" max="35" width="7.85546875" style="216" customWidth="1"/>
    <col min="36" max="36" width="11.85546875" style="1" customWidth="1"/>
    <col min="37" max="37" width="13.28515625" style="137" customWidth="1"/>
    <col min="38" max="38" width="13.7109375" style="222" customWidth="1"/>
    <col min="39" max="39" width="12.85546875" style="222" customWidth="1"/>
    <col min="40" max="40" width="10" style="1" customWidth="1"/>
    <col min="41" max="41" width="14.7109375" style="1" customWidth="1"/>
    <col min="42" max="42" width="16.140625" style="1" customWidth="1"/>
    <col min="43" max="43" width="10.28515625" style="1" customWidth="1"/>
    <col min="44" max="16384" width="8.85546875" style="1"/>
  </cols>
  <sheetData>
    <row r="1" spans="1:43" ht="100.15" customHeight="1" thickBot="1">
      <c r="A1" s="24"/>
      <c r="B1" s="29"/>
      <c r="C1" s="27"/>
      <c r="D1" s="26"/>
      <c r="E1" s="27"/>
      <c r="F1" s="27"/>
      <c r="G1" s="27"/>
      <c r="H1" s="27"/>
      <c r="I1" s="27"/>
      <c r="J1" s="27"/>
      <c r="K1" s="27"/>
      <c r="L1" s="33"/>
      <c r="M1" s="33"/>
      <c r="N1" s="33"/>
      <c r="O1" s="33"/>
      <c r="P1" s="33"/>
      <c r="Q1" s="27"/>
      <c r="R1" s="27"/>
      <c r="S1" s="27"/>
      <c r="T1" s="27"/>
      <c r="U1" s="33"/>
      <c r="V1" s="33"/>
      <c r="W1" s="27"/>
      <c r="X1" s="33"/>
      <c r="Y1" s="33"/>
      <c r="Z1" s="27"/>
      <c r="AA1" s="33"/>
      <c r="AB1" s="33"/>
      <c r="AC1" s="27"/>
      <c r="AD1" s="27"/>
      <c r="AE1" s="27"/>
      <c r="AF1" s="27"/>
      <c r="AG1" s="26"/>
      <c r="AH1" s="223"/>
      <c r="AI1" s="213"/>
      <c r="AJ1" s="26"/>
      <c r="AK1" s="136"/>
      <c r="AL1" s="217"/>
      <c r="AM1" s="217"/>
      <c r="AN1" s="26"/>
      <c r="AO1" s="26"/>
      <c r="AP1" s="26"/>
      <c r="AQ1" s="26"/>
    </row>
    <row r="2" spans="1:43" ht="18" customHeight="1" thickBot="1">
      <c r="A2" s="24"/>
      <c r="B2" s="29"/>
      <c r="C2" s="27"/>
      <c r="D2" s="26"/>
      <c r="E2" s="27"/>
      <c r="F2" s="27"/>
      <c r="G2" s="27"/>
      <c r="H2" s="27"/>
      <c r="I2" s="27"/>
      <c r="J2" s="27"/>
      <c r="K2" s="27"/>
      <c r="L2" s="33"/>
      <c r="M2" s="33"/>
      <c r="N2" s="33"/>
      <c r="O2" s="33"/>
      <c r="P2" s="33"/>
      <c r="Q2" s="27"/>
      <c r="R2" s="27"/>
      <c r="S2" s="27"/>
      <c r="T2" s="27"/>
      <c r="U2" s="288" t="s">
        <v>78</v>
      </c>
      <c r="V2" s="289"/>
      <c r="W2" s="289"/>
      <c r="X2" s="288" t="s">
        <v>79</v>
      </c>
      <c r="Y2" s="289"/>
      <c r="Z2" s="289"/>
      <c r="AA2" s="289" t="s">
        <v>80</v>
      </c>
      <c r="AB2" s="289"/>
      <c r="AC2" s="290"/>
      <c r="AD2" s="288" t="s">
        <v>81</v>
      </c>
      <c r="AE2" s="289"/>
      <c r="AF2" s="290"/>
      <c r="AG2" s="26"/>
      <c r="AH2" s="223"/>
      <c r="AI2" s="213"/>
      <c r="AJ2" s="26"/>
      <c r="AK2" s="136"/>
      <c r="AL2" s="217"/>
      <c r="AM2" s="217"/>
      <c r="AN2" s="26"/>
      <c r="AO2" s="26"/>
      <c r="AP2" s="26"/>
      <c r="AQ2" s="26"/>
    </row>
    <row r="3" spans="1:43" ht="25.5">
      <c r="A3" s="83" t="s">
        <v>0</v>
      </c>
      <c r="B3" s="84" t="s">
        <v>1</v>
      </c>
      <c r="C3" s="84" t="s">
        <v>2</v>
      </c>
      <c r="D3" s="84" t="s">
        <v>3</v>
      </c>
      <c r="E3" s="84" t="s">
        <v>4</v>
      </c>
      <c r="F3" s="84" t="s">
        <v>5</v>
      </c>
      <c r="G3" s="85" t="s">
        <v>6</v>
      </c>
      <c r="H3" s="84" t="s">
        <v>7</v>
      </c>
      <c r="I3" s="84" t="s">
        <v>8</v>
      </c>
      <c r="J3" s="84" t="s">
        <v>9</v>
      </c>
      <c r="K3" s="84" t="s">
        <v>10</v>
      </c>
      <c r="L3" s="86" t="s">
        <v>11</v>
      </c>
      <c r="M3" s="86" t="s">
        <v>12</v>
      </c>
      <c r="N3" s="86" t="s">
        <v>13</v>
      </c>
      <c r="O3" s="87" t="s">
        <v>14</v>
      </c>
      <c r="P3" s="86" t="s">
        <v>15</v>
      </c>
      <c r="Q3" s="88" t="s">
        <v>16</v>
      </c>
      <c r="R3" s="88" t="s">
        <v>17</v>
      </c>
      <c r="S3" s="88" t="s">
        <v>18</v>
      </c>
      <c r="T3" s="88" t="s">
        <v>19</v>
      </c>
      <c r="U3" s="89" t="s">
        <v>20</v>
      </c>
      <c r="V3" s="90" t="s">
        <v>21</v>
      </c>
      <c r="W3" s="141" t="s">
        <v>22</v>
      </c>
      <c r="X3" s="89" t="s">
        <v>23</v>
      </c>
      <c r="Y3" s="90" t="s">
        <v>24</v>
      </c>
      <c r="Z3" s="91" t="s">
        <v>25</v>
      </c>
      <c r="AA3" s="90" t="s">
        <v>26</v>
      </c>
      <c r="AB3" s="90" t="s">
        <v>27</v>
      </c>
      <c r="AC3" s="91" t="s">
        <v>28</v>
      </c>
      <c r="AD3" s="92" t="s">
        <v>29</v>
      </c>
      <c r="AE3" s="92" t="s">
        <v>30</v>
      </c>
      <c r="AF3" s="91" t="s">
        <v>31</v>
      </c>
      <c r="AG3" s="84" t="s">
        <v>32</v>
      </c>
      <c r="AH3" s="224" t="s">
        <v>33</v>
      </c>
      <c r="AI3" s="214" t="s">
        <v>34</v>
      </c>
      <c r="AJ3" s="84" t="s">
        <v>35</v>
      </c>
      <c r="AK3" s="86" t="s">
        <v>36</v>
      </c>
      <c r="AL3" s="218" t="s">
        <v>37</v>
      </c>
      <c r="AM3" s="218" t="s">
        <v>38</v>
      </c>
      <c r="AN3" s="84" t="s">
        <v>39</v>
      </c>
      <c r="AO3" s="233" t="s">
        <v>40</v>
      </c>
      <c r="AP3" s="84" t="s">
        <v>41</v>
      </c>
      <c r="AQ3" s="88" t="s">
        <v>42</v>
      </c>
    </row>
    <row r="4" spans="1:43" hidden="1">
      <c r="A4" s="173">
        <v>44896</v>
      </c>
      <c r="B4" s="174" t="s">
        <v>63</v>
      </c>
      <c r="C4" s="175" t="s">
        <v>416</v>
      </c>
      <c r="D4" s="174" t="s">
        <v>427</v>
      </c>
      <c r="E4" s="174" t="s">
        <v>89</v>
      </c>
      <c r="F4" s="174" t="s">
        <v>89</v>
      </c>
      <c r="G4" s="176" t="s">
        <v>299</v>
      </c>
      <c r="H4" s="177" t="s">
        <v>415</v>
      </c>
      <c r="I4" s="177" t="s">
        <v>490</v>
      </c>
      <c r="J4" s="177" t="s">
        <v>49</v>
      </c>
      <c r="K4" s="177"/>
      <c r="L4" s="178">
        <v>54142.2</v>
      </c>
      <c r="M4" s="179">
        <f>Table13[[#This Row],[Quoted Rev]]/Table13[[#This Row],[PO Amount]]</f>
        <v>0.31154995548758641</v>
      </c>
      <c r="N4" s="178">
        <v>16868</v>
      </c>
      <c r="O4" s="180">
        <v>37274.199999999997</v>
      </c>
      <c r="P4" s="178">
        <f>V4+Y4+AB4</f>
        <v>36248.959999999999</v>
      </c>
      <c r="Q4" s="181" t="str">
        <f>IF(P4&lt;O4,"OK","NOT OK")</f>
        <v>OK</v>
      </c>
      <c r="R4" s="178">
        <f>(O4-P4)+N4</f>
        <v>17893.239999999998</v>
      </c>
      <c r="S4" s="179">
        <f>R4/L4</f>
        <v>0.3304860164529701</v>
      </c>
      <c r="T4" s="182" t="s">
        <v>491</v>
      </c>
      <c r="U4" s="178">
        <v>27319.200000000001</v>
      </c>
      <c r="V4" s="178">
        <v>28982.5</v>
      </c>
      <c r="W4" s="183">
        <f>V4/U4</f>
        <v>1.0608839204661922</v>
      </c>
      <c r="X4" s="178">
        <v>4670</v>
      </c>
      <c r="Y4" s="178">
        <v>2600.58</v>
      </c>
      <c r="Z4" s="184">
        <f>Y4/X4</f>
        <v>0.55686937901498923</v>
      </c>
      <c r="AA4" s="178">
        <v>5285</v>
      </c>
      <c r="AB4" s="178">
        <v>4665.88</v>
      </c>
      <c r="AC4" s="184">
        <f>AB4/AA4</f>
        <v>0.88285335856196789</v>
      </c>
      <c r="AD4" s="180"/>
      <c r="AE4" s="180"/>
      <c r="AF4" s="180"/>
      <c r="AG4" s="201" t="s">
        <v>98</v>
      </c>
      <c r="AH4" s="225">
        <v>0.4</v>
      </c>
      <c r="AI4" s="215">
        <v>1007</v>
      </c>
      <c r="AJ4" s="201" t="str">
        <f t="shared" ref="AJ4:AJ7" si="0">IF(AI4&gt;0,"Invoiced", "Pending")</f>
        <v>Invoiced</v>
      </c>
      <c r="AK4" s="201">
        <v>21656.880000000001</v>
      </c>
      <c r="AL4" s="219">
        <v>44928</v>
      </c>
      <c r="AM4" s="215">
        <f>(Table13[[#This Row],[Invoice Date]]-Table13[[#This Row],[Month]])/7</f>
        <v>4.5714285714285712</v>
      </c>
      <c r="AN4" s="228">
        <v>0</v>
      </c>
      <c r="AO4" s="219">
        <f t="shared" ref="AO4:AO67" si="1">AL4+AN4</f>
        <v>44928</v>
      </c>
      <c r="AP4" s="201" t="s">
        <v>94</v>
      </c>
      <c r="AQ4" s="201" t="str">
        <f ca="1">IF(AND(AO4&lt;TODAY(),Table13[[#This Row],[Payment Status]]="Pending"),"Past Due", "OK")</f>
        <v>OK</v>
      </c>
    </row>
    <row r="5" spans="1:43" hidden="1">
      <c r="A5" s="173">
        <v>44896</v>
      </c>
      <c r="B5" s="174" t="s">
        <v>63</v>
      </c>
      <c r="C5" s="175" t="s">
        <v>416</v>
      </c>
      <c r="D5" s="174" t="s">
        <v>427</v>
      </c>
      <c r="E5" s="174" t="s">
        <v>89</v>
      </c>
      <c r="F5" s="174" t="s">
        <v>89</v>
      </c>
      <c r="G5" s="176" t="s">
        <v>299</v>
      </c>
      <c r="H5" s="177" t="s">
        <v>415</v>
      </c>
      <c r="I5" s="177" t="s">
        <v>490</v>
      </c>
      <c r="J5" s="177" t="s">
        <v>49</v>
      </c>
      <c r="K5" s="177"/>
      <c r="L5" s="185">
        <v>0</v>
      </c>
      <c r="M5" s="185" t="s">
        <v>492</v>
      </c>
      <c r="N5" s="186">
        <v>0</v>
      </c>
      <c r="O5" s="186">
        <v>0</v>
      </c>
      <c r="P5" s="186">
        <v>0</v>
      </c>
      <c r="Q5" s="186" t="s">
        <v>492</v>
      </c>
      <c r="R5" s="186" t="s">
        <v>492</v>
      </c>
      <c r="S5" s="186"/>
      <c r="T5" s="182" t="s">
        <v>491</v>
      </c>
      <c r="U5" s="186" t="s">
        <v>492</v>
      </c>
      <c r="V5" s="186" t="s">
        <v>492</v>
      </c>
      <c r="W5" s="186" t="s">
        <v>492</v>
      </c>
      <c r="X5" s="186" t="s">
        <v>492</v>
      </c>
      <c r="Y5" s="186" t="s">
        <v>492</v>
      </c>
      <c r="Z5" s="186" t="s">
        <v>492</v>
      </c>
      <c r="AA5" s="186" t="s">
        <v>492</v>
      </c>
      <c r="AB5" s="186" t="s">
        <v>492</v>
      </c>
      <c r="AC5" s="186" t="s">
        <v>492</v>
      </c>
      <c r="AD5" s="186" t="s">
        <v>492</v>
      </c>
      <c r="AE5" s="186" t="s">
        <v>492</v>
      </c>
      <c r="AF5" s="186" t="s">
        <v>492</v>
      </c>
      <c r="AG5" s="178" t="s">
        <v>52</v>
      </c>
      <c r="AH5" s="179">
        <v>0.6</v>
      </c>
      <c r="AI5" s="193">
        <v>1028</v>
      </c>
      <c r="AJ5" s="178" t="str">
        <f t="shared" si="0"/>
        <v>Invoiced</v>
      </c>
      <c r="AK5" s="178">
        <v>32485.32</v>
      </c>
      <c r="AL5" s="220">
        <v>45127</v>
      </c>
      <c r="AM5" s="215">
        <f>(Table13[[#This Row],[Invoice Date]]-Table13[[#This Row],[Month]])/7</f>
        <v>33</v>
      </c>
      <c r="AN5" s="229">
        <v>30</v>
      </c>
      <c r="AO5" s="219">
        <f t="shared" si="1"/>
        <v>45157</v>
      </c>
      <c r="AP5" s="178" t="s">
        <v>94</v>
      </c>
      <c r="AQ5" s="201" t="str">
        <f ca="1">IF(AND(AO5&lt;TODAY(),Table13[[#This Row],[Payment Status]]="Pending"),"Past Due", "OK")</f>
        <v>OK</v>
      </c>
    </row>
    <row r="6" spans="1:43" hidden="1">
      <c r="A6" s="173">
        <v>44896</v>
      </c>
      <c r="B6" s="174" t="s">
        <v>63</v>
      </c>
      <c r="C6" s="175" t="s">
        <v>418</v>
      </c>
      <c r="D6" s="174" t="s">
        <v>427</v>
      </c>
      <c r="E6" s="174" t="s">
        <v>89</v>
      </c>
      <c r="F6" s="174" t="s">
        <v>89</v>
      </c>
      <c r="G6" s="176" t="s">
        <v>299</v>
      </c>
      <c r="H6" s="177" t="s">
        <v>415</v>
      </c>
      <c r="I6" s="177" t="s">
        <v>490</v>
      </c>
      <c r="J6" s="177" t="s">
        <v>49</v>
      </c>
      <c r="K6" s="177"/>
      <c r="L6" s="178">
        <v>45225.97</v>
      </c>
      <c r="M6" s="179">
        <f>Table13[[#This Row],[Quoted Rev]]/Table13[[#This Row],[PO Amount]]</f>
        <v>0.3213145013805121</v>
      </c>
      <c r="N6" s="178">
        <v>14531.76</v>
      </c>
      <c r="O6" s="180">
        <v>30694.21</v>
      </c>
      <c r="P6" s="178">
        <f>V6+Y6+AB6</f>
        <v>39427.370000000003</v>
      </c>
      <c r="Q6" s="187" t="str">
        <f>IF(P6&lt;O6,"OK","NOT OK")</f>
        <v>NOT OK</v>
      </c>
      <c r="R6" s="178">
        <f>(O6-P6)+N6</f>
        <v>5798.5999999999967</v>
      </c>
      <c r="S6" s="179">
        <f>R6/L6</f>
        <v>0.12821394433331107</v>
      </c>
      <c r="T6" s="182" t="s">
        <v>491</v>
      </c>
      <c r="U6" s="180">
        <v>26719.21</v>
      </c>
      <c r="V6" s="180">
        <v>30472.5</v>
      </c>
      <c r="W6" s="183">
        <f>V6/U6</f>
        <v>1.1404715932843823</v>
      </c>
      <c r="X6" s="180">
        <v>2400</v>
      </c>
      <c r="Y6" s="180">
        <v>3951.43</v>
      </c>
      <c r="Z6" s="183">
        <f>Y6/X6</f>
        <v>1.6464291666666666</v>
      </c>
      <c r="AA6" s="178">
        <v>1575</v>
      </c>
      <c r="AB6" s="178">
        <v>5003.4399999999996</v>
      </c>
      <c r="AC6" s="183">
        <f>AB6/AA6</f>
        <v>3.1767873015873014</v>
      </c>
      <c r="AD6" s="180"/>
      <c r="AE6" s="180"/>
      <c r="AF6" s="180"/>
      <c r="AG6" s="178" t="s">
        <v>98</v>
      </c>
      <c r="AH6" s="179">
        <v>0.4</v>
      </c>
      <c r="AI6" s="193">
        <v>1008</v>
      </c>
      <c r="AJ6" s="178" t="str">
        <f t="shared" si="0"/>
        <v>Invoiced</v>
      </c>
      <c r="AK6" s="178">
        <v>18090.39</v>
      </c>
      <c r="AL6" s="220">
        <v>44928</v>
      </c>
      <c r="AM6" s="215">
        <f>(Table13[[#This Row],[Invoice Date]]-Table13[[#This Row],[Month]])/7</f>
        <v>4.5714285714285712</v>
      </c>
      <c r="AN6" s="229">
        <v>0</v>
      </c>
      <c r="AO6" s="219">
        <f t="shared" si="1"/>
        <v>44928</v>
      </c>
      <c r="AP6" s="178" t="s">
        <v>94</v>
      </c>
      <c r="AQ6" s="201" t="str">
        <f ca="1">IF(AND(AO6&lt;TODAY(),Table13[[#This Row],[Payment Status]]="Pending"),"Past Due", "OK")</f>
        <v>OK</v>
      </c>
    </row>
    <row r="7" spans="1:43" hidden="1">
      <c r="A7" s="173">
        <v>44896</v>
      </c>
      <c r="B7" s="173" t="s">
        <v>63</v>
      </c>
      <c r="C7" s="175" t="s">
        <v>418</v>
      </c>
      <c r="D7" s="174" t="s">
        <v>427</v>
      </c>
      <c r="E7" s="174" t="s">
        <v>89</v>
      </c>
      <c r="F7" s="174" t="s">
        <v>89</v>
      </c>
      <c r="G7" s="176" t="s">
        <v>299</v>
      </c>
      <c r="H7" s="177" t="s">
        <v>415</v>
      </c>
      <c r="I7" s="177" t="s">
        <v>490</v>
      </c>
      <c r="J7" s="177" t="s">
        <v>49</v>
      </c>
      <c r="K7" s="177"/>
      <c r="L7" s="185">
        <v>0</v>
      </c>
      <c r="M7" s="185" t="s">
        <v>492</v>
      </c>
      <c r="N7" s="185">
        <v>0</v>
      </c>
      <c r="O7" s="185">
        <v>0</v>
      </c>
      <c r="P7" s="185">
        <v>0</v>
      </c>
      <c r="Q7" s="185" t="s">
        <v>492</v>
      </c>
      <c r="R7" s="186" t="s">
        <v>492</v>
      </c>
      <c r="S7" s="186"/>
      <c r="T7" s="182" t="s">
        <v>491</v>
      </c>
      <c r="U7" s="186" t="s">
        <v>492</v>
      </c>
      <c r="V7" s="186" t="s">
        <v>492</v>
      </c>
      <c r="W7" s="186" t="s">
        <v>492</v>
      </c>
      <c r="X7" s="186" t="s">
        <v>492</v>
      </c>
      <c r="Y7" s="186" t="s">
        <v>492</v>
      </c>
      <c r="Z7" s="186" t="s">
        <v>492</v>
      </c>
      <c r="AA7" s="186" t="s">
        <v>492</v>
      </c>
      <c r="AB7" s="186" t="s">
        <v>492</v>
      </c>
      <c r="AC7" s="186" t="s">
        <v>492</v>
      </c>
      <c r="AD7" s="186" t="s">
        <v>492</v>
      </c>
      <c r="AE7" s="186" t="s">
        <v>492</v>
      </c>
      <c r="AF7" s="186" t="s">
        <v>492</v>
      </c>
      <c r="AG7" s="178" t="s">
        <v>52</v>
      </c>
      <c r="AH7" s="179">
        <v>0.6</v>
      </c>
      <c r="AI7" s="193">
        <v>1034</v>
      </c>
      <c r="AJ7" s="178" t="str">
        <f t="shared" si="0"/>
        <v>Invoiced</v>
      </c>
      <c r="AK7" s="178">
        <v>27135.58</v>
      </c>
      <c r="AL7" s="220">
        <v>45156</v>
      </c>
      <c r="AM7" s="215">
        <f>(Table13[[#This Row],[Invoice Date]]-Table13[[#This Row],[Month]])/7</f>
        <v>37.142857142857146</v>
      </c>
      <c r="AN7" s="229">
        <v>30</v>
      </c>
      <c r="AO7" s="219">
        <f t="shared" si="1"/>
        <v>45186</v>
      </c>
      <c r="AP7" s="178" t="s">
        <v>94</v>
      </c>
      <c r="AQ7" s="201" t="str">
        <f ca="1">IF(AND(AO7&lt;TODAY(),Table13[[#This Row],[Payment Status]]="Pending"),"Past Due", "OK")</f>
        <v>OK</v>
      </c>
    </row>
    <row r="8" spans="1:43" hidden="1">
      <c r="A8" s="173">
        <v>44949</v>
      </c>
      <c r="B8" s="174" t="s">
        <v>63</v>
      </c>
      <c r="C8" s="175" t="s">
        <v>434</v>
      </c>
      <c r="D8" s="174" t="s">
        <v>427</v>
      </c>
      <c r="E8" s="174" t="s">
        <v>89</v>
      </c>
      <c r="F8" s="174" t="s">
        <v>89</v>
      </c>
      <c r="G8" s="176" t="s">
        <v>321</v>
      </c>
      <c r="H8" s="177" t="s">
        <v>351</v>
      </c>
      <c r="I8" s="177" t="s">
        <v>493</v>
      </c>
      <c r="J8" s="177" t="s">
        <v>49</v>
      </c>
      <c r="K8" s="177"/>
      <c r="L8" s="178">
        <v>9747.4699999999993</v>
      </c>
      <c r="M8" s="179">
        <f>Table13[[#This Row],[Quoted Rev]]/Table13[[#This Row],[PO Amount]]</f>
        <v>0.89354263208812146</v>
      </c>
      <c r="N8" s="178">
        <v>8709.7800000000007</v>
      </c>
      <c r="O8" s="178">
        <v>1037.69</v>
      </c>
      <c r="P8" s="178">
        <f>V8+Y8+AB8</f>
        <v>929.36</v>
      </c>
      <c r="Q8" s="181" t="str">
        <f>IF(P8&lt;O8,"OK","NOT OK")</f>
        <v>OK</v>
      </c>
      <c r="R8" s="178">
        <f>(O8-P8)+N8</f>
        <v>8818.11</v>
      </c>
      <c r="S8" s="179">
        <f>R8/L8</f>
        <v>0.90465628516938257</v>
      </c>
      <c r="T8" s="182" t="s">
        <v>491</v>
      </c>
      <c r="U8" s="178">
        <v>270.69</v>
      </c>
      <c r="V8" s="178">
        <v>844</v>
      </c>
      <c r="W8" s="183">
        <f>V8/U8</f>
        <v>3.1179578115187114</v>
      </c>
      <c r="X8" s="178">
        <v>0</v>
      </c>
      <c r="Y8" s="178">
        <v>85.36</v>
      </c>
      <c r="Z8" s="188" t="s">
        <v>494</v>
      </c>
      <c r="AA8" s="178">
        <v>0</v>
      </c>
      <c r="AB8" s="178">
        <v>0</v>
      </c>
      <c r="AC8" s="189" t="s">
        <v>89</v>
      </c>
      <c r="AD8" s="190"/>
      <c r="AE8" s="190"/>
      <c r="AF8" s="190"/>
      <c r="AG8" s="178" t="s">
        <v>52</v>
      </c>
      <c r="AH8" s="179">
        <v>1</v>
      </c>
      <c r="AI8" s="193">
        <v>1047</v>
      </c>
      <c r="AJ8" s="178" t="str">
        <f>IF(AI8&gt;0,"Invoiced", "Pending")</f>
        <v>Invoiced</v>
      </c>
      <c r="AK8" s="178">
        <v>9747.4699999999993</v>
      </c>
      <c r="AL8" s="220">
        <v>45196</v>
      </c>
      <c r="AM8" s="215">
        <f>(Table13[[#This Row],[Invoice Date]]-Table13[[#This Row],[Month]])/7</f>
        <v>35.285714285714285</v>
      </c>
      <c r="AN8" s="229">
        <v>30</v>
      </c>
      <c r="AO8" s="219">
        <f t="shared" si="1"/>
        <v>45226</v>
      </c>
      <c r="AP8" s="178" t="s">
        <v>94</v>
      </c>
      <c r="AQ8" s="201" t="str">
        <f ca="1">IF(AND(AO8&lt;TODAY(),Table13[[#This Row],[Payment Status]]="Pending"),"Past Due", "OK")</f>
        <v>OK</v>
      </c>
    </row>
    <row r="9" spans="1:43" hidden="1">
      <c r="A9" s="173">
        <v>44958</v>
      </c>
      <c r="B9" s="174" t="s">
        <v>63</v>
      </c>
      <c r="C9" s="175" t="s">
        <v>437</v>
      </c>
      <c r="D9" s="174" t="s">
        <v>427</v>
      </c>
      <c r="E9" s="174" t="s">
        <v>89</v>
      </c>
      <c r="F9" s="174" t="s">
        <v>89</v>
      </c>
      <c r="G9" s="176" t="s">
        <v>306</v>
      </c>
      <c r="H9" s="177" t="s">
        <v>108</v>
      </c>
      <c r="I9" s="177" t="s">
        <v>109</v>
      </c>
      <c r="J9" s="177" t="s">
        <v>49</v>
      </c>
      <c r="K9" s="177"/>
      <c r="L9" s="178">
        <v>66207.350000000006</v>
      </c>
      <c r="M9" s="179">
        <f>Table13[[#This Row],[Quoted Rev]]/Table13[[#This Row],[PO Amount]]</f>
        <v>0.46241769229549284</v>
      </c>
      <c r="N9" s="178">
        <v>30615.45</v>
      </c>
      <c r="O9" s="178">
        <v>35591.9</v>
      </c>
      <c r="P9" s="178">
        <f>V9+Y9+AB9</f>
        <v>30266.510000000002</v>
      </c>
      <c r="Q9" s="181" t="str">
        <f>IF(P9&lt;O9,"OK","NOT OK")</f>
        <v>OK</v>
      </c>
      <c r="R9" s="178">
        <f>(O9-P9)+N9</f>
        <v>35940.839999999997</v>
      </c>
      <c r="S9" s="179">
        <f>R9/L9</f>
        <v>0.54285271952434277</v>
      </c>
      <c r="T9" s="182" t="s">
        <v>491</v>
      </c>
      <c r="U9" s="178">
        <v>34016.9</v>
      </c>
      <c r="V9" s="178">
        <v>29790.68</v>
      </c>
      <c r="W9" s="191">
        <f>V9/U9</f>
        <v>0.87576116577348317</v>
      </c>
      <c r="X9" s="178">
        <v>0</v>
      </c>
      <c r="Y9" s="178">
        <v>475.83</v>
      </c>
      <c r="Z9" s="188" t="s">
        <v>494</v>
      </c>
      <c r="AA9" s="178">
        <v>1575</v>
      </c>
      <c r="AB9" s="178">
        <v>0</v>
      </c>
      <c r="AC9" s="192">
        <f>AB9/AA9</f>
        <v>0</v>
      </c>
      <c r="AD9" s="193"/>
      <c r="AE9" s="193"/>
      <c r="AF9" s="179"/>
      <c r="AG9" s="178" t="s">
        <v>52</v>
      </c>
      <c r="AH9" s="179">
        <v>1</v>
      </c>
      <c r="AI9" s="193">
        <v>1020</v>
      </c>
      <c r="AJ9" s="178" t="str">
        <f>IF(AI9&gt;0,"Invoiced", "Pending")</f>
        <v>Invoiced</v>
      </c>
      <c r="AK9" s="178">
        <v>66207.350000000006</v>
      </c>
      <c r="AL9" s="220">
        <v>45065</v>
      </c>
      <c r="AM9" s="215">
        <f>(Table13[[#This Row],[Invoice Date]]-Table13[[#This Row],[Month]])/7</f>
        <v>15.285714285714286</v>
      </c>
      <c r="AN9" s="229">
        <v>30</v>
      </c>
      <c r="AO9" s="219">
        <f t="shared" si="1"/>
        <v>45095</v>
      </c>
      <c r="AP9" s="178" t="s">
        <v>94</v>
      </c>
      <c r="AQ9" s="201" t="str">
        <f ca="1">IF(AND(AO9&lt;TODAY(),Table13[[#This Row],[Payment Status]]="Pending"),"Past Due", "OK")</f>
        <v>OK</v>
      </c>
    </row>
    <row r="10" spans="1:43" hidden="1">
      <c r="A10" s="173">
        <v>44958</v>
      </c>
      <c r="B10" s="174" t="s">
        <v>63</v>
      </c>
      <c r="C10" s="175" t="s">
        <v>439</v>
      </c>
      <c r="D10" s="174" t="s">
        <v>495</v>
      </c>
      <c r="E10" s="174" t="s">
        <v>89</v>
      </c>
      <c r="F10" s="174" t="s">
        <v>89</v>
      </c>
      <c r="G10" s="176" t="s">
        <v>303</v>
      </c>
      <c r="H10" s="177" t="s">
        <v>108</v>
      </c>
      <c r="I10" s="177" t="s">
        <v>109</v>
      </c>
      <c r="J10" s="177" t="s">
        <v>49</v>
      </c>
      <c r="K10" s="177"/>
      <c r="L10" s="178">
        <v>2200</v>
      </c>
      <c r="M10" s="179">
        <f>Table13[[#This Row],[Quoted Rev]]/Table13[[#This Row],[PO Amount]]</f>
        <v>1</v>
      </c>
      <c r="N10" s="178">
        <v>2200</v>
      </c>
      <c r="O10" s="178">
        <v>0</v>
      </c>
      <c r="P10" s="178">
        <f>V10+Y10+AB10</f>
        <v>0</v>
      </c>
      <c r="Q10" s="181" t="s">
        <v>51</v>
      </c>
      <c r="R10" s="178">
        <f>(O10-P10)+N10</f>
        <v>2200</v>
      </c>
      <c r="S10" s="179">
        <f>R10/L10</f>
        <v>1</v>
      </c>
      <c r="T10" s="182" t="s">
        <v>491</v>
      </c>
      <c r="U10" s="178">
        <v>0</v>
      </c>
      <c r="V10" s="178">
        <v>0</v>
      </c>
      <c r="W10" s="189" t="s">
        <v>89</v>
      </c>
      <c r="X10" s="178">
        <v>0</v>
      </c>
      <c r="Y10" s="178">
        <v>0</v>
      </c>
      <c r="Z10" s="189" t="s">
        <v>89</v>
      </c>
      <c r="AA10" s="178">
        <v>0</v>
      </c>
      <c r="AB10" s="178">
        <v>0</v>
      </c>
      <c r="AC10" s="189" t="s">
        <v>89</v>
      </c>
      <c r="AD10" s="193">
        <v>20</v>
      </c>
      <c r="AE10" s="193">
        <v>20</v>
      </c>
      <c r="AF10" s="179">
        <f>AE10/AD10</f>
        <v>1</v>
      </c>
      <c r="AG10" s="178" t="s">
        <v>52</v>
      </c>
      <c r="AH10" s="179">
        <v>1</v>
      </c>
      <c r="AI10" s="193">
        <v>1014</v>
      </c>
      <c r="AJ10" s="178" t="str">
        <f>IF(AI10&gt;0,"Invoiced", "Pending")</f>
        <v>Invoiced</v>
      </c>
      <c r="AK10" s="178">
        <v>2200</v>
      </c>
      <c r="AL10" s="220">
        <v>44999</v>
      </c>
      <c r="AM10" s="215">
        <f>(Table13[[#This Row],[Invoice Date]]-Table13[[#This Row],[Month]])/7</f>
        <v>5.8571428571428568</v>
      </c>
      <c r="AN10" s="229">
        <v>30</v>
      </c>
      <c r="AO10" s="219">
        <f t="shared" si="1"/>
        <v>45029</v>
      </c>
      <c r="AP10" s="178" t="s">
        <v>94</v>
      </c>
      <c r="AQ10" s="201" t="str">
        <f ca="1">IF(AND(AO10&lt;TODAY(),Table13[[#This Row],[Payment Status]]="Pending"),"Past Due", "OK")</f>
        <v>OK</v>
      </c>
    </row>
    <row r="11" spans="1:43" hidden="1">
      <c r="A11" s="173">
        <v>44986</v>
      </c>
      <c r="B11" s="174" t="s">
        <v>57</v>
      </c>
      <c r="C11" s="175" t="s">
        <v>496</v>
      </c>
      <c r="D11" s="174" t="s">
        <v>6</v>
      </c>
      <c r="E11" s="174" t="s">
        <v>378</v>
      </c>
      <c r="F11" s="174">
        <v>1632</v>
      </c>
      <c r="G11" s="176" t="s">
        <v>301</v>
      </c>
      <c r="H11" s="177" t="s">
        <v>240</v>
      </c>
      <c r="I11" s="177" t="s">
        <v>497</v>
      </c>
      <c r="J11" s="177" t="s">
        <v>49</v>
      </c>
      <c r="K11" s="177"/>
      <c r="L11" s="178">
        <v>130044.89</v>
      </c>
      <c r="M11" s="179">
        <f>Table13[[#This Row],[Quoted Rev]]/Table13[[#This Row],[PO Amount]]</f>
        <v>3.6057780817070159E-2</v>
      </c>
      <c r="N11" s="180">
        <v>4689.1301399999993</v>
      </c>
      <c r="O11" s="180">
        <v>125355.76</v>
      </c>
      <c r="P11" s="178">
        <f>V11+Y11+AB11</f>
        <v>125355.76</v>
      </c>
      <c r="Q11" s="181" t="s">
        <v>51</v>
      </c>
      <c r="R11" s="178">
        <f>(O11-P11)+N11</f>
        <v>4689.1301399999993</v>
      </c>
      <c r="S11" s="179">
        <f>R11/L11</f>
        <v>3.6057780817070159E-2</v>
      </c>
      <c r="T11" s="182" t="s">
        <v>498</v>
      </c>
      <c r="U11" s="180">
        <v>125355.76</v>
      </c>
      <c r="V11" s="180">
        <v>125355.76</v>
      </c>
      <c r="W11" s="191">
        <f>V11/U11</f>
        <v>1</v>
      </c>
      <c r="X11" s="178">
        <v>0</v>
      </c>
      <c r="Y11" s="178">
        <v>0</v>
      </c>
      <c r="Z11" s="189" t="s">
        <v>89</v>
      </c>
      <c r="AA11" s="178">
        <v>0</v>
      </c>
      <c r="AB11" s="178">
        <v>0</v>
      </c>
      <c r="AC11" s="189" t="s">
        <v>89</v>
      </c>
      <c r="AD11" s="178">
        <v>0</v>
      </c>
      <c r="AE11" s="178">
        <v>0</v>
      </c>
      <c r="AF11" s="190" t="s">
        <v>499</v>
      </c>
      <c r="AG11" s="178" t="s">
        <v>98</v>
      </c>
      <c r="AH11" s="179">
        <v>0.5</v>
      </c>
      <c r="AI11" s="193">
        <v>1013</v>
      </c>
      <c r="AJ11" s="178" t="str">
        <f t="shared" ref="AJ11:AJ16" si="2">IF(AI11&gt;0,"Invoiced", "Pending")</f>
        <v>Invoiced</v>
      </c>
      <c r="AK11" s="178">
        <f>L11*AH11</f>
        <v>65022.445</v>
      </c>
      <c r="AL11" s="220">
        <v>44986</v>
      </c>
      <c r="AM11" s="215">
        <f>(Table13[[#This Row],[Invoice Date]]-Table13[[#This Row],[Month]])/7</f>
        <v>0</v>
      </c>
      <c r="AN11" s="229">
        <v>0</v>
      </c>
      <c r="AO11" s="219">
        <f t="shared" si="1"/>
        <v>44986</v>
      </c>
      <c r="AP11" s="178" t="s">
        <v>94</v>
      </c>
      <c r="AQ11" s="201" t="str">
        <f ca="1">IF(AND(AO11&lt;TODAY(),Table13[[#This Row],[Payment Status]]="Pending"),"Past Due", "OK")</f>
        <v>OK</v>
      </c>
    </row>
    <row r="12" spans="1:43">
      <c r="A12" s="173">
        <v>44986</v>
      </c>
      <c r="B12" s="174" t="s">
        <v>57</v>
      </c>
      <c r="C12" s="175" t="s">
        <v>496</v>
      </c>
      <c r="D12" s="174" t="s">
        <v>6</v>
      </c>
      <c r="E12" s="174" t="s">
        <v>378</v>
      </c>
      <c r="F12" s="174" t="s">
        <v>53</v>
      </c>
      <c r="G12" s="176" t="s">
        <v>301</v>
      </c>
      <c r="H12" s="177" t="s">
        <v>240</v>
      </c>
      <c r="I12" s="177" t="s">
        <v>497</v>
      </c>
      <c r="J12" s="177" t="s">
        <v>49</v>
      </c>
      <c r="K12" s="177" t="s">
        <v>97</v>
      </c>
      <c r="L12" s="185">
        <v>0</v>
      </c>
      <c r="M12" s="185" t="s">
        <v>492</v>
      </c>
      <c r="N12" s="186">
        <v>0</v>
      </c>
      <c r="O12" s="186">
        <v>0</v>
      </c>
      <c r="P12" s="186">
        <v>0</v>
      </c>
      <c r="Q12" s="186" t="s">
        <v>492</v>
      </c>
      <c r="R12" s="186" t="s">
        <v>492</v>
      </c>
      <c r="S12" s="186"/>
      <c r="T12" s="182" t="s">
        <v>498</v>
      </c>
      <c r="U12" s="186" t="s">
        <v>492</v>
      </c>
      <c r="V12" s="186" t="s">
        <v>492</v>
      </c>
      <c r="W12" s="186" t="s">
        <v>492</v>
      </c>
      <c r="X12" s="186" t="s">
        <v>492</v>
      </c>
      <c r="Y12" s="186" t="s">
        <v>492</v>
      </c>
      <c r="Z12" s="186" t="s">
        <v>492</v>
      </c>
      <c r="AA12" s="186" t="s">
        <v>492</v>
      </c>
      <c r="AB12" s="186" t="s">
        <v>492</v>
      </c>
      <c r="AC12" s="186" t="s">
        <v>492</v>
      </c>
      <c r="AD12" s="186" t="s">
        <v>492</v>
      </c>
      <c r="AE12" s="186" t="s">
        <v>492</v>
      </c>
      <c r="AF12" s="186" t="s">
        <v>492</v>
      </c>
      <c r="AG12" s="178" t="s">
        <v>52</v>
      </c>
      <c r="AH12" s="179">
        <v>0.5</v>
      </c>
      <c r="AI12" s="193">
        <v>1077</v>
      </c>
      <c r="AJ12" s="178" t="s">
        <v>93</v>
      </c>
      <c r="AK12" s="178">
        <f>L11-AK11</f>
        <v>65022.445</v>
      </c>
      <c r="AL12" s="220">
        <v>45365</v>
      </c>
      <c r="AM12" s="215">
        <f>(Table13[[#This Row],[Invoice Date]]-Table13[[#This Row],[Month]])/7</f>
        <v>54.142857142857146</v>
      </c>
      <c r="AN12" s="229">
        <v>30</v>
      </c>
      <c r="AO12" s="219">
        <f t="shared" si="1"/>
        <v>45395</v>
      </c>
      <c r="AP12" s="178" t="s">
        <v>53</v>
      </c>
      <c r="AQ12" s="201" t="str">
        <f ca="1">IF(AND(AO12&lt;TODAY(),Table13[[#This Row],[Payment Status]]="Pending"),"Past Due", "OK")</f>
        <v>Past Due</v>
      </c>
    </row>
    <row r="13" spans="1:43" hidden="1">
      <c r="A13" s="173">
        <v>44986</v>
      </c>
      <c r="B13" s="174" t="s">
        <v>44</v>
      </c>
      <c r="C13" s="175" t="s">
        <v>500</v>
      </c>
      <c r="D13" s="174" t="s">
        <v>6</v>
      </c>
      <c r="E13" s="174" t="s">
        <v>501</v>
      </c>
      <c r="F13" s="174">
        <v>1631</v>
      </c>
      <c r="G13" s="176" t="s">
        <v>302</v>
      </c>
      <c r="H13" s="177" t="s">
        <v>488</v>
      </c>
      <c r="I13" s="177" t="s">
        <v>502</v>
      </c>
      <c r="J13" s="177" t="s">
        <v>49</v>
      </c>
      <c r="K13" s="177"/>
      <c r="L13" s="178">
        <v>14104.18</v>
      </c>
      <c r="M13" s="179">
        <f>Table13[[#This Row],[Quoted Rev]]/Table13[[#This Row],[PO Amount]]</f>
        <v>3.3522686182394158E-2</v>
      </c>
      <c r="N13" s="180">
        <v>472.81</v>
      </c>
      <c r="O13" s="180">
        <v>13631.37</v>
      </c>
      <c r="P13" s="178">
        <f>V13+Y13+AB13</f>
        <v>13631.37</v>
      </c>
      <c r="Q13" s="181" t="s">
        <v>51</v>
      </c>
      <c r="R13" s="178">
        <f>(O13-P13)+N13</f>
        <v>472.81</v>
      </c>
      <c r="S13" s="179">
        <f>R13/L13</f>
        <v>3.3522686182394158E-2</v>
      </c>
      <c r="T13" s="182" t="s">
        <v>491</v>
      </c>
      <c r="U13" s="180">
        <v>13631.37</v>
      </c>
      <c r="V13" s="180">
        <v>13631.37</v>
      </c>
      <c r="W13" s="191">
        <f>V13/U13</f>
        <v>1</v>
      </c>
      <c r="X13" s="178">
        <v>0</v>
      </c>
      <c r="Y13" s="178">
        <v>0</v>
      </c>
      <c r="Z13" s="189" t="s">
        <v>89</v>
      </c>
      <c r="AA13" s="178">
        <v>0</v>
      </c>
      <c r="AB13" s="178">
        <v>0</v>
      </c>
      <c r="AC13" s="189" t="s">
        <v>89</v>
      </c>
      <c r="AD13" s="193">
        <v>0</v>
      </c>
      <c r="AE13" s="193">
        <v>0</v>
      </c>
      <c r="AF13" s="190" t="s">
        <v>499</v>
      </c>
      <c r="AG13" s="178" t="s">
        <v>98</v>
      </c>
      <c r="AH13" s="179">
        <v>0.5</v>
      </c>
      <c r="AI13" s="193">
        <v>1015</v>
      </c>
      <c r="AJ13" s="178" t="str">
        <f t="shared" si="2"/>
        <v>Invoiced</v>
      </c>
      <c r="AK13" s="178">
        <v>7052.09</v>
      </c>
      <c r="AL13" s="220">
        <v>45001</v>
      </c>
      <c r="AM13" s="215">
        <f>(Table13[[#This Row],[Invoice Date]]-Table13[[#This Row],[Month]])/7</f>
        <v>2.1428571428571428</v>
      </c>
      <c r="AN13" s="229">
        <v>0</v>
      </c>
      <c r="AO13" s="219">
        <f t="shared" si="1"/>
        <v>45001</v>
      </c>
      <c r="AP13" s="178" t="s">
        <v>94</v>
      </c>
      <c r="AQ13" s="201" t="str">
        <f ca="1">IF(AND(AO13&lt;TODAY(),Table13[[#This Row],[Payment Status]]="Pending"),"Past Due", "OK")</f>
        <v>OK</v>
      </c>
    </row>
    <row r="14" spans="1:43" hidden="1">
      <c r="A14" s="173">
        <v>44986</v>
      </c>
      <c r="B14" s="174" t="s">
        <v>44</v>
      </c>
      <c r="C14" s="175" t="s">
        <v>500</v>
      </c>
      <c r="D14" s="174" t="s">
        <v>6</v>
      </c>
      <c r="E14" s="174" t="s">
        <v>501</v>
      </c>
      <c r="F14" s="174">
        <v>1718</v>
      </c>
      <c r="G14" s="176" t="s">
        <v>302</v>
      </c>
      <c r="H14" s="177" t="s">
        <v>488</v>
      </c>
      <c r="I14" s="177" t="s">
        <v>502</v>
      </c>
      <c r="J14" s="177" t="s">
        <v>49</v>
      </c>
      <c r="K14" s="177"/>
      <c r="L14" s="185">
        <v>0</v>
      </c>
      <c r="M14" s="185" t="s">
        <v>492</v>
      </c>
      <c r="N14" s="186">
        <v>0</v>
      </c>
      <c r="O14" s="186">
        <v>0</v>
      </c>
      <c r="P14" s="186">
        <v>0</v>
      </c>
      <c r="Q14" s="186" t="s">
        <v>492</v>
      </c>
      <c r="R14" s="186" t="s">
        <v>492</v>
      </c>
      <c r="S14" s="186"/>
      <c r="T14" s="182" t="s">
        <v>491</v>
      </c>
      <c r="U14" s="186" t="s">
        <v>492</v>
      </c>
      <c r="V14" s="186" t="s">
        <v>492</v>
      </c>
      <c r="W14" s="186" t="s">
        <v>492</v>
      </c>
      <c r="X14" s="186" t="s">
        <v>492</v>
      </c>
      <c r="Y14" s="186" t="s">
        <v>492</v>
      </c>
      <c r="Z14" s="186" t="s">
        <v>492</v>
      </c>
      <c r="AA14" s="186" t="s">
        <v>492</v>
      </c>
      <c r="AB14" s="186" t="s">
        <v>492</v>
      </c>
      <c r="AC14" s="186" t="s">
        <v>492</v>
      </c>
      <c r="AD14" s="186" t="s">
        <v>492</v>
      </c>
      <c r="AE14" s="186" t="s">
        <v>492</v>
      </c>
      <c r="AF14" s="186" t="s">
        <v>492</v>
      </c>
      <c r="AG14" s="178" t="s">
        <v>52</v>
      </c>
      <c r="AH14" s="179">
        <v>0.5</v>
      </c>
      <c r="AI14" s="193">
        <v>1021</v>
      </c>
      <c r="AJ14" s="178" t="str">
        <f t="shared" si="2"/>
        <v>Invoiced</v>
      </c>
      <c r="AK14" s="178">
        <v>7052.09</v>
      </c>
      <c r="AL14" s="220">
        <v>45077</v>
      </c>
      <c r="AM14" s="215">
        <f>(Table13[[#This Row],[Invoice Date]]-Table13[[#This Row],[Month]])/7</f>
        <v>13</v>
      </c>
      <c r="AN14" s="229">
        <v>30</v>
      </c>
      <c r="AO14" s="219">
        <f t="shared" si="1"/>
        <v>45107</v>
      </c>
      <c r="AP14" s="178" t="s">
        <v>94</v>
      </c>
      <c r="AQ14" s="201" t="str">
        <f ca="1">IF(AND(AO14&lt;TODAY(),Table13[[#This Row],[Payment Status]]="Pending"),"Past Due", "OK")</f>
        <v>OK</v>
      </c>
    </row>
    <row r="15" spans="1:43" hidden="1">
      <c r="A15" s="173">
        <v>44986</v>
      </c>
      <c r="B15" s="174" t="s">
        <v>63</v>
      </c>
      <c r="C15" s="175" t="s">
        <v>442</v>
      </c>
      <c r="D15" s="174" t="s">
        <v>495</v>
      </c>
      <c r="E15" s="174" t="s">
        <v>89</v>
      </c>
      <c r="F15" s="174" t="s">
        <v>89</v>
      </c>
      <c r="G15" s="176" t="s">
        <v>303</v>
      </c>
      <c r="H15" s="177" t="s">
        <v>108</v>
      </c>
      <c r="I15" s="177" t="s">
        <v>109</v>
      </c>
      <c r="J15" s="177" t="s">
        <v>49</v>
      </c>
      <c r="K15" s="177"/>
      <c r="L15" s="178">
        <v>2420</v>
      </c>
      <c r="M15" s="179">
        <f>Table13[[#This Row],[Quoted Rev]]/Table13[[#This Row],[PO Amount]]</f>
        <v>1</v>
      </c>
      <c r="N15" s="178">
        <v>2420</v>
      </c>
      <c r="O15" s="178">
        <v>0</v>
      </c>
      <c r="P15" s="178">
        <f>V15+Y15+AB15</f>
        <v>0</v>
      </c>
      <c r="Q15" s="181" t="s">
        <v>51</v>
      </c>
      <c r="R15" s="178">
        <f>(O15-P15)+N15</f>
        <v>2420</v>
      </c>
      <c r="S15" s="179">
        <f>R15/L15</f>
        <v>1</v>
      </c>
      <c r="T15" s="182" t="s">
        <v>491</v>
      </c>
      <c r="U15" s="178">
        <v>0</v>
      </c>
      <c r="V15" s="178">
        <v>0</v>
      </c>
      <c r="W15" s="189" t="s">
        <v>89</v>
      </c>
      <c r="X15" s="178">
        <v>0</v>
      </c>
      <c r="Y15" s="178">
        <v>0</v>
      </c>
      <c r="Z15" s="189" t="s">
        <v>89</v>
      </c>
      <c r="AA15" s="178">
        <v>0</v>
      </c>
      <c r="AB15" s="178">
        <v>0</v>
      </c>
      <c r="AC15" s="189" t="s">
        <v>89</v>
      </c>
      <c r="AD15" s="193">
        <v>33</v>
      </c>
      <c r="AE15" s="193">
        <v>33</v>
      </c>
      <c r="AF15" s="179">
        <f>AE15/AD15</f>
        <v>1</v>
      </c>
      <c r="AG15" s="178" t="s">
        <v>52</v>
      </c>
      <c r="AH15" s="179">
        <v>0.7</v>
      </c>
      <c r="AI15" s="193">
        <v>1016</v>
      </c>
      <c r="AJ15" s="178" t="str">
        <f t="shared" si="2"/>
        <v>Invoiced</v>
      </c>
      <c r="AK15" s="178">
        <v>1573</v>
      </c>
      <c r="AL15" s="220">
        <v>45001</v>
      </c>
      <c r="AM15" s="215">
        <f>(Table13[[#This Row],[Invoice Date]]-Table13[[#This Row],[Month]])/7</f>
        <v>2.1428571428571428</v>
      </c>
      <c r="AN15" s="229">
        <v>30</v>
      </c>
      <c r="AO15" s="219">
        <f t="shared" si="1"/>
        <v>45031</v>
      </c>
      <c r="AP15" s="178" t="s">
        <v>94</v>
      </c>
      <c r="AQ15" s="201" t="str">
        <f ca="1">IF(AND(AO15&lt;TODAY(),Table13[[#This Row],[Payment Status]]="Pending"),"Past Due", "OK")</f>
        <v>OK</v>
      </c>
    </row>
    <row r="16" spans="1:43" hidden="1">
      <c r="A16" s="173">
        <v>44986</v>
      </c>
      <c r="B16" s="174" t="s">
        <v>63</v>
      </c>
      <c r="C16" s="175" t="s">
        <v>442</v>
      </c>
      <c r="D16" s="174" t="s">
        <v>495</v>
      </c>
      <c r="E16" s="174" t="s">
        <v>89</v>
      </c>
      <c r="F16" s="174" t="s">
        <v>89</v>
      </c>
      <c r="G16" s="176" t="s">
        <v>303</v>
      </c>
      <c r="H16" s="177" t="s">
        <v>108</v>
      </c>
      <c r="I16" s="177" t="s">
        <v>109</v>
      </c>
      <c r="J16" s="177" t="s">
        <v>49</v>
      </c>
      <c r="K16" s="177"/>
      <c r="L16" s="185">
        <v>0</v>
      </c>
      <c r="M16" s="185" t="s">
        <v>492</v>
      </c>
      <c r="N16" s="186">
        <v>0</v>
      </c>
      <c r="O16" s="186">
        <v>0</v>
      </c>
      <c r="P16" s="186">
        <v>0</v>
      </c>
      <c r="Q16" s="186" t="s">
        <v>492</v>
      </c>
      <c r="R16" s="186" t="s">
        <v>492</v>
      </c>
      <c r="S16" s="186"/>
      <c r="T16" s="182" t="s">
        <v>491</v>
      </c>
      <c r="U16" s="186" t="s">
        <v>492</v>
      </c>
      <c r="V16" s="186" t="s">
        <v>492</v>
      </c>
      <c r="W16" s="186" t="s">
        <v>492</v>
      </c>
      <c r="X16" s="186" t="s">
        <v>492</v>
      </c>
      <c r="Y16" s="186" t="s">
        <v>492</v>
      </c>
      <c r="Z16" s="186" t="s">
        <v>492</v>
      </c>
      <c r="AA16" s="186" t="s">
        <v>492</v>
      </c>
      <c r="AB16" s="186" t="s">
        <v>492</v>
      </c>
      <c r="AC16" s="186" t="s">
        <v>492</v>
      </c>
      <c r="AD16" s="186" t="s">
        <v>492</v>
      </c>
      <c r="AE16" s="186" t="s">
        <v>492</v>
      </c>
      <c r="AF16" s="186" t="s">
        <v>492</v>
      </c>
      <c r="AG16" s="178" t="s">
        <v>52</v>
      </c>
      <c r="AH16" s="179">
        <v>0.3</v>
      </c>
      <c r="AI16" s="193">
        <v>1022</v>
      </c>
      <c r="AJ16" s="178" t="str">
        <f t="shared" si="2"/>
        <v>Invoiced</v>
      </c>
      <c r="AK16" s="178">
        <v>847</v>
      </c>
      <c r="AL16" s="220">
        <v>45079</v>
      </c>
      <c r="AM16" s="215">
        <f>(Table13[[#This Row],[Invoice Date]]-Table13[[#This Row],[Month]])/7</f>
        <v>13.285714285714286</v>
      </c>
      <c r="AN16" s="229">
        <v>30</v>
      </c>
      <c r="AO16" s="219">
        <f t="shared" si="1"/>
        <v>45109</v>
      </c>
      <c r="AP16" s="178" t="s">
        <v>94</v>
      </c>
      <c r="AQ16" s="201" t="str">
        <f ca="1">IF(AND(AO16&lt;TODAY(),Table13[[#This Row],[Payment Status]]="Pending"),"Past Due", "OK")</f>
        <v>OK</v>
      </c>
    </row>
    <row r="17" spans="1:43" hidden="1">
      <c r="A17" s="173">
        <v>45017</v>
      </c>
      <c r="B17" s="174" t="s">
        <v>63</v>
      </c>
      <c r="C17" s="175" t="s">
        <v>443</v>
      </c>
      <c r="D17" s="174" t="s">
        <v>427</v>
      </c>
      <c r="E17" s="174" t="s">
        <v>89</v>
      </c>
      <c r="F17" s="174" t="s">
        <v>89</v>
      </c>
      <c r="G17" s="176" t="s">
        <v>309</v>
      </c>
      <c r="H17" s="177" t="s">
        <v>444</v>
      </c>
      <c r="I17" s="177" t="s">
        <v>138</v>
      </c>
      <c r="J17" s="177" t="s">
        <v>3</v>
      </c>
      <c r="K17" s="177"/>
      <c r="L17" s="178">
        <v>21388.97</v>
      </c>
      <c r="M17" s="179">
        <f>Table13[[#This Row],[Quoted Rev]]/Table13[[#This Row],[PO Amount]]</f>
        <v>0.38392966094206499</v>
      </c>
      <c r="N17" s="178">
        <f>9337.59-1125.73</f>
        <v>8211.86</v>
      </c>
      <c r="O17" s="178">
        <v>13177.11</v>
      </c>
      <c r="P17" s="178">
        <f>V17+Y17+AB17</f>
        <v>12800.060000000001</v>
      </c>
      <c r="Q17" s="181" t="str">
        <f>IF(P17&lt;O17,"OK","NOT OK")</f>
        <v>OK</v>
      </c>
      <c r="R17" s="178">
        <f>(O17-P17)+N17</f>
        <v>8588.91</v>
      </c>
      <c r="S17" s="179">
        <f>R17/L17</f>
        <v>0.40155790578040923</v>
      </c>
      <c r="T17" s="182" t="s">
        <v>491</v>
      </c>
      <c r="U17" s="178">
        <v>12687.11</v>
      </c>
      <c r="V17" s="182">
        <v>12285.2</v>
      </c>
      <c r="W17" s="184">
        <f>V17/U17</f>
        <v>0.9683213907659034</v>
      </c>
      <c r="X17" s="178">
        <v>490</v>
      </c>
      <c r="Y17" s="178">
        <v>514.86</v>
      </c>
      <c r="Z17" s="183">
        <f>Y17/X17</f>
        <v>1.050734693877551</v>
      </c>
      <c r="AA17" s="178">
        <v>0</v>
      </c>
      <c r="AB17" s="178">
        <v>0</v>
      </c>
      <c r="AC17" s="189" t="s">
        <v>89</v>
      </c>
      <c r="AD17" s="193">
        <v>41.45</v>
      </c>
      <c r="AE17" s="193">
        <f>6</f>
        <v>6</v>
      </c>
      <c r="AF17" s="179">
        <f>AE17/AD17</f>
        <v>0.14475271411338961</v>
      </c>
      <c r="AG17" s="178" t="s">
        <v>52</v>
      </c>
      <c r="AH17" s="179">
        <v>1</v>
      </c>
      <c r="AI17" s="193">
        <v>1023</v>
      </c>
      <c r="AJ17" s="178" t="str">
        <f>IF(AI17&gt;0,"Invoiced", "Pending")</f>
        <v>Invoiced</v>
      </c>
      <c r="AK17" s="178">
        <v>21388.97</v>
      </c>
      <c r="AL17" s="220">
        <v>45079</v>
      </c>
      <c r="AM17" s="215">
        <f>(Table13[[#This Row],[Invoice Date]]-Table13[[#This Row],[Month]])/7</f>
        <v>8.8571428571428577</v>
      </c>
      <c r="AN17" s="229">
        <v>30</v>
      </c>
      <c r="AO17" s="219">
        <f t="shared" si="1"/>
        <v>45109</v>
      </c>
      <c r="AP17" s="178" t="s">
        <v>94</v>
      </c>
      <c r="AQ17" s="201" t="str">
        <f ca="1">IF(AND(AO17&lt;TODAY(),Table13[[#This Row],[Payment Status]]="Pending"),"Past Due", "OK")</f>
        <v>OK</v>
      </c>
    </row>
    <row r="18" spans="1:43" hidden="1">
      <c r="A18" s="173">
        <v>45017</v>
      </c>
      <c r="B18" s="174" t="s">
        <v>63</v>
      </c>
      <c r="C18" s="175" t="s">
        <v>445</v>
      </c>
      <c r="D18" s="174" t="s">
        <v>495</v>
      </c>
      <c r="E18" s="174" t="s">
        <v>89</v>
      </c>
      <c r="F18" s="174" t="s">
        <v>89</v>
      </c>
      <c r="G18" s="176" t="s">
        <v>308</v>
      </c>
      <c r="H18" s="177" t="s">
        <v>108</v>
      </c>
      <c r="I18" s="177" t="s">
        <v>109</v>
      </c>
      <c r="J18" s="177" t="s">
        <v>49</v>
      </c>
      <c r="K18" s="177"/>
      <c r="L18" s="178">
        <v>2459</v>
      </c>
      <c r="M18" s="179">
        <f>Table13[[#This Row],[Quoted Rev]]/Table13[[#This Row],[PO Amount]]</f>
        <v>0.98413989426596182</v>
      </c>
      <c r="N18" s="178">
        <v>2420</v>
      </c>
      <c r="O18" s="178">
        <v>39</v>
      </c>
      <c r="P18" s="178">
        <f>V18+Y18+AB18</f>
        <v>42.01</v>
      </c>
      <c r="Q18" s="181" t="str">
        <f>IF(P18&lt;O18,"OK","NOT OK")</f>
        <v>NOT OK</v>
      </c>
      <c r="R18" s="178">
        <f>(O18-P18)+N18</f>
        <v>2416.9899999999998</v>
      </c>
      <c r="S18" s="179">
        <f>R18/L18</f>
        <v>0.98291581943879613</v>
      </c>
      <c r="T18" s="182" t="s">
        <v>491</v>
      </c>
      <c r="U18" s="178">
        <v>39</v>
      </c>
      <c r="V18" s="178">
        <v>42.01</v>
      </c>
      <c r="W18" s="183">
        <f>V18/U18</f>
        <v>1.0771794871794871</v>
      </c>
      <c r="X18" s="178">
        <v>0</v>
      </c>
      <c r="Y18" s="178">
        <v>0</v>
      </c>
      <c r="Z18" s="189" t="s">
        <v>89</v>
      </c>
      <c r="AA18" s="178">
        <v>0</v>
      </c>
      <c r="AB18" s="178">
        <v>0</v>
      </c>
      <c r="AC18" s="189" t="s">
        <v>89</v>
      </c>
      <c r="AD18" s="193">
        <v>20</v>
      </c>
      <c r="AE18" s="193">
        <v>20</v>
      </c>
      <c r="AF18" s="179">
        <f>AE18/AD18</f>
        <v>1</v>
      </c>
      <c r="AG18" s="178" t="s">
        <v>52</v>
      </c>
      <c r="AH18" s="179">
        <v>1</v>
      </c>
      <c r="AI18" s="193">
        <v>1024</v>
      </c>
      <c r="AJ18" s="178" t="str">
        <f>IF(AI18&gt;0,"Invoiced", "Pending")</f>
        <v>Invoiced</v>
      </c>
      <c r="AK18" s="178">
        <v>2459</v>
      </c>
      <c r="AL18" s="220">
        <v>45079</v>
      </c>
      <c r="AM18" s="215">
        <f>(Table13[[#This Row],[Invoice Date]]-Table13[[#This Row],[Month]])/7</f>
        <v>8.8571428571428577</v>
      </c>
      <c r="AN18" s="229">
        <v>30</v>
      </c>
      <c r="AO18" s="219">
        <f t="shared" si="1"/>
        <v>45109</v>
      </c>
      <c r="AP18" s="178" t="s">
        <v>94</v>
      </c>
      <c r="AQ18" s="201" t="str">
        <f ca="1">IF(AND(AO18&lt;TODAY(),Table13[[#This Row],[Payment Status]]="Pending"),"Past Due", "OK")</f>
        <v>OK</v>
      </c>
    </row>
    <row r="19" spans="1:43" hidden="1">
      <c r="A19" s="173">
        <v>45017</v>
      </c>
      <c r="B19" s="174" t="s">
        <v>63</v>
      </c>
      <c r="C19" s="175" t="s">
        <v>446</v>
      </c>
      <c r="D19" s="174" t="s">
        <v>427</v>
      </c>
      <c r="E19" s="174" t="s">
        <v>89</v>
      </c>
      <c r="F19" s="174" t="s">
        <v>89</v>
      </c>
      <c r="G19" s="176" t="s">
        <v>311</v>
      </c>
      <c r="H19" s="177" t="s">
        <v>108</v>
      </c>
      <c r="I19" s="177" t="s">
        <v>109</v>
      </c>
      <c r="J19" s="177" t="s">
        <v>49</v>
      </c>
      <c r="K19" s="177"/>
      <c r="L19" s="178">
        <v>55245.23</v>
      </c>
      <c r="M19" s="179">
        <f>Table13[[#This Row],[Quoted Rev]]/Table13[[#This Row],[PO Amount]]</f>
        <v>0.46852425087197569</v>
      </c>
      <c r="N19" s="178">
        <v>25883.73</v>
      </c>
      <c r="O19" s="178">
        <v>29361.5</v>
      </c>
      <c r="P19" s="178">
        <f>V19+Y19+AB19</f>
        <v>31861.79</v>
      </c>
      <c r="Q19" s="181" t="str">
        <f>IF(P19&lt;O19,"OK","NOT OK")</f>
        <v>NOT OK</v>
      </c>
      <c r="R19" s="178">
        <f>(O19-P19)+N19</f>
        <v>23383.439999999999</v>
      </c>
      <c r="S19" s="179">
        <f>R19/L19</f>
        <v>0.42326622588049678</v>
      </c>
      <c r="T19" s="182" t="s">
        <v>491</v>
      </c>
      <c r="U19" s="178">
        <v>28761.5</v>
      </c>
      <c r="V19" s="182">
        <v>31484.39</v>
      </c>
      <c r="W19" s="183">
        <f>V19/U19</f>
        <v>1.0946713488517636</v>
      </c>
      <c r="X19" s="178">
        <v>600</v>
      </c>
      <c r="Y19" s="178">
        <v>377.4</v>
      </c>
      <c r="Z19" s="191">
        <f>Y19/X19</f>
        <v>0.629</v>
      </c>
      <c r="AA19" s="178">
        <v>0</v>
      </c>
      <c r="AB19" s="178">
        <v>0</v>
      </c>
      <c r="AC19" s="189" t="s">
        <v>89</v>
      </c>
      <c r="AD19" s="178"/>
      <c r="AE19" s="178"/>
      <c r="AF19" s="178"/>
      <c r="AG19" s="178" t="s">
        <v>52</v>
      </c>
      <c r="AH19" s="179">
        <v>1</v>
      </c>
      <c r="AI19" s="193">
        <v>1029</v>
      </c>
      <c r="AJ19" s="178" t="str">
        <f>IF(AI19&gt;0,"Invoiced", "Pending")</f>
        <v>Invoiced</v>
      </c>
      <c r="AK19" s="178">
        <v>55245.23</v>
      </c>
      <c r="AL19" s="220">
        <v>45127</v>
      </c>
      <c r="AM19" s="215">
        <f>(Table13[[#This Row],[Invoice Date]]-Table13[[#This Row],[Month]])/7</f>
        <v>15.714285714285714</v>
      </c>
      <c r="AN19" s="229">
        <v>30</v>
      </c>
      <c r="AO19" s="219">
        <f t="shared" si="1"/>
        <v>45157</v>
      </c>
      <c r="AP19" s="178" t="s">
        <v>94</v>
      </c>
      <c r="AQ19" s="201" t="str">
        <f ca="1">IF(AND(AO19&lt;TODAY(),Table13[[#This Row],[Payment Status]]="Pending"),"Past Due", "OK")</f>
        <v>OK</v>
      </c>
    </row>
    <row r="20" spans="1:43" hidden="1">
      <c r="A20" s="173">
        <v>45047</v>
      </c>
      <c r="B20" s="174" t="s">
        <v>44</v>
      </c>
      <c r="C20" s="175" t="s">
        <v>503</v>
      </c>
      <c r="D20" s="174" t="s">
        <v>6</v>
      </c>
      <c r="E20" s="174" t="s">
        <v>504</v>
      </c>
      <c r="F20" s="174">
        <v>1706</v>
      </c>
      <c r="G20" s="176" t="s">
        <v>305</v>
      </c>
      <c r="H20" s="177" t="s">
        <v>485</v>
      </c>
      <c r="I20" s="177" t="s">
        <v>505</v>
      </c>
      <c r="J20" s="177" t="s">
        <v>49</v>
      </c>
      <c r="K20" s="177"/>
      <c r="L20" s="178">
        <v>20493.060000000001</v>
      </c>
      <c r="M20" s="179">
        <f>Table13[[#This Row],[Quoted Rev]]/Table13[[#This Row],[PO Amount]]</f>
        <v>0.16666666666666666</v>
      </c>
      <c r="N20" s="178">
        <v>3415.51</v>
      </c>
      <c r="O20" s="178">
        <v>17077.55</v>
      </c>
      <c r="P20" s="178">
        <f>V20+Y20+AB20</f>
        <v>17077.55</v>
      </c>
      <c r="Q20" s="181" t="s">
        <v>51</v>
      </c>
      <c r="R20" s="178">
        <f>(O20-P20)+N20</f>
        <v>3415.51</v>
      </c>
      <c r="S20" s="179">
        <f>R20/L20</f>
        <v>0.16666666666666666</v>
      </c>
      <c r="T20" s="182" t="s">
        <v>491</v>
      </c>
      <c r="U20" s="178">
        <v>17077.55</v>
      </c>
      <c r="V20" s="178">
        <v>17077.55</v>
      </c>
      <c r="W20" s="184">
        <f>V20/U20</f>
        <v>1</v>
      </c>
      <c r="X20" s="178">
        <v>0</v>
      </c>
      <c r="Y20" s="178">
        <v>0</v>
      </c>
      <c r="Z20" s="189" t="s">
        <v>89</v>
      </c>
      <c r="AA20" s="178">
        <v>0</v>
      </c>
      <c r="AB20" s="178">
        <v>0</v>
      </c>
      <c r="AC20" s="189" t="s">
        <v>89</v>
      </c>
      <c r="AD20" s="178">
        <v>0</v>
      </c>
      <c r="AE20" s="178">
        <v>0</v>
      </c>
      <c r="AF20" s="190" t="s">
        <v>499</v>
      </c>
      <c r="AG20" s="178" t="s">
        <v>98</v>
      </c>
      <c r="AH20" s="179">
        <v>0.3</v>
      </c>
      <c r="AI20" s="193">
        <v>1018</v>
      </c>
      <c r="AJ20" s="178" t="str">
        <f>IF(AI20&gt;0,"Invoiced", "Pending")</f>
        <v>Invoiced</v>
      </c>
      <c r="AK20" s="178">
        <v>6147.91</v>
      </c>
      <c r="AL20" s="220">
        <v>45065</v>
      </c>
      <c r="AM20" s="215">
        <f>(Table13[[#This Row],[Invoice Date]]-Table13[[#This Row],[Month]])/7</f>
        <v>2.5714285714285716</v>
      </c>
      <c r="AN20" s="229">
        <v>0</v>
      </c>
      <c r="AO20" s="219">
        <f t="shared" si="1"/>
        <v>45065</v>
      </c>
      <c r="AP20" s="178" t="s">
        <v>94</v>
      </c>
      <c r="AQ20" s="201" t="str">
        <f ca="1">IF(AND(AO20&lt;TODAY(),Table13[[#This Row],[Payment Status]]="Pending"),"Past Due", "OK")</f>
        <v>OK</v>
      </c>
    </row>
    <row r="21" spans="1:43" hidden="1">
      <c r="A21" s="173">
        <v>45047</v>
      </c>
      <c r="B21" s="174" t="s">
        <v>44</v>
      </c>
      <c r="C21" s="175" t="s">
        <v>503</v>
      </c>
      <c r="D21" s="174" t="s">
        <v>6</v>
      </c>
      <c r="E21" s="174" t="s">
        <v>89</v>
      </c>
      <c r="F21" s="174">
        <v>1794</v>
      </c>
      <c r="G21" s="176" t="s">
        <v>305</v>
      </c>
      <c r="H21" s="177" t="s">
        <v>485</v>
      </c>
      <c r="I21" s="177" t="s">
        <v>505</v>
      </c>
      <c r="J21" s="177" t="s">
        <v>49</v>
      </c>
      <c r="K21" s="177"/>
      <c r="L21" s="185">
        <v>0</v>
      </c>
      <c r="M21" s="185" t="s">
        <v>492</v>
      </c>
      <c r="N21" s="186">
        <v>0</v>
      </c>
      <c r="O21" s="186">
        <v>0</v>
      </c>
      <c r="P21" s="186">
        <v>0</v>
      </c>
      <c r="Q21" s="186" t="s">
        <v>492</v>
      </c>
      <c r="R21" s="186" t="s">
        <v>492</v>
      </c>
      <c r="S21" s="186"/>
      <c r="T21" s="182" t="s">
        <v>491</v>
      </c>
      <c r="U21" s="186" t="s">
        <v>492</v>
      </c>
      <c r="V21" s="186" t="s">
        <v>492</v>
      </c>
      <c r="W21" s="186" t="s">
        <v>492</v>
      </c>
      <c r="X21" s="186" t="s">
        <v>492</v>
      </c>
      <c r="Y21" s="186" t="s">
        <v>492</v>
      </c>
      <c r="Z21" s="186" t="s">
        <v>492</v>
      </c>
      <c r="AA21" s="186" t="s">
        <v>492</v>
      </c>
      <c r="AB21" s="186" t="s">
        <v>492</v>
      </c>
      <c r="AC21" s="186" t="s">
        <v>492</v>
      </c>
      <c r="AD21" s="186" t="s">
        <v>492</v>
      </c>
      <c r="AE21" s="186" t="s">
        <v>492</v>
      </c>
      <c r="AF21" s="186" t="s">
        <v>492</v>
      </c>
      <c r="AG21" s="178" t="s">
        <v>52</v>
      </c>
      <c r="AH21" s="179">
        <v>0.7</v>
      </c>
      <c r="AI21" s="193">
        <v>1031</v>
      </c>
      <c r="AJ21" s="178" t="str">
        <f>IF(AI21&gt;0,"Invoiced", "Pending")</f>
        <v>Invoiced</v>
      </c>
      <c r="AK21" s="178">
        <v>14345.15</v>
      </c>
      <c r="AL21" s="220">
        <v>45152</v>
      </c>
      <c r="AM21" s="215">
        <f>(Table13[[#This Row],[Invoice Date]]-Table13[[#This Row],[Month]])/7</f>
        <v>15</v>
      </c>
      <c r="AN21" s="229">
        <v>30</v>
      </c>
      <c r="AO21" s="219">
        <f t="shared" si="1"/>
        <v>45182</v>
      </c>
      <c r="AP21" s="178" t="s">
        <v>94</v>
      </c>
      <c r="AQ21" s="201" t="str">
        <f ca="1">IF(AND(AO21&lt;TODAY(),Table13[[#This Row],[Payment Status]]="Pending"),"Past Due", "OK")</f>
        <v>OK</v>
      </c>
    </row>
    <row r="22" spans="1:43" hidden="1">
      <c r="A22" s="173">
        <v>45078</v>
      </c>
      <c r="B22" s="174" t="s">
        <v>63</v>
      </c>
      <c r="C22" s="175" t="s">
        <v>448</v>
      </c>
      <c r="D22" s="174" t="s">
        <v>427</v>
      </c>
      <c r="E22" s="174" t="s">
        <v>89</v>
      </c>
      <c r="F22" s="174" t="s">
        <v>89</v>
      </c>
      <c r="G22" s="176" t="s">
        <v>319</v>
      </c>
      <c r="H22" s="177" t="s">
        <v>444</v>
      </c>
      <c r="I22" s="177" t="s">
        <v>138</v>
      </c>
      <c r="J22" s="177" t="s">
        <v>3</v>
      </c>
      <c r="K22" s="177"/>
      <c r="L22" s="178">
        <v>28419.21</v>
      </c>
      <c r="M22" s="179">
        <f>Table13[[#This Row],[Quoted Rev]]/Table13[[#This Row],[PO Amount]]</f>
        <v>0.40373500881973851</v>
      </c>
      <c r="N22" s="178">
        <v>11473.83</v>
      </c>
      <c r="O22" s="178">
        <v>16945.38</v>
      </c>
      <c r="P22" s="178">
        <f t="shared" ref="P22:P27" si="3">V22+Y22+AB22</f>
        <v>15784</v>
      </c>
      <c r="Q22" s="181" t="s">
        <v>51</v>
      </c>
      <c r="R22" s="178">
        <f>(O22-P22)+N22</f>
        <v>12635.210000000001</v>
      </c>
      <c r="S22" s="179">
        <f t="shared" ref="S22:S27" si="4">R22/L22</f>
        <v>0.44460102867039586</v>
      </c>
      <c r="T22" s="182" t="s">
        <v>491</v>
      </c>
      <c r="U22" s="178">
        <v>16745.384615384617</v>
      </c>
      <c r="V22" s="182">
        <v>15430</v>
      </c>
      <c r="W22" s="184">
        <f>V22/U22</f>
        <v>0.92144793054343321</v>
      </c>
      <c r="X22" s="178">
        <v>200</v>
      </c>
      <c r="Y22" s="178">
        <v>354</v>
      </c>
      <c r="Z22" s="183">
        <f>Y22/X22</f>
        <v>1.77</v>
      </c>
      <c r="AA22" s="178">
        <v>0</v>
      </c>
      <c r="AB22" s="178">
        <v>0</v>
      </c>
      <c r="AC22" s="189" t="s">
        <v>89</v>
      </c>
      <c r="AD22" s="178">
        <v>0</v>
      </c>
      <c r="AE22" s="178">
        <v>0</v>
      </c>
      <c r="AF22" s="189" t="s">
        <v>89</v>
      </c>
      <c r="AG22" s="178" t="s">
        <v>52</v>
      </c>
      <c r="AH22" s="179">
        <v>1</v>
      </c>
      <c r="AI22" s="193">
        <v>1043</v>
      </c>
      <c r="AJ22" s="178" t="str">
        <f t="shared" ref="AJ22:AJ28" si="5">IF(AI22&gt;0,"Invoiced", "Pending")</f>
        <v>Invoiced</v>
      </c>
      <c r="AK22" s="178">
        <v>28419.21</v>
      </c>
      <c r="AL22" s="220">
        <v>45183</v>
      </c>
      <c r="AM22" s="215">
        <f>(Table13[[#This Row],[Invoice Date]]-Table13[[#This Row],[Month]])/7</f>
        <v>15</v>
      </c>
      <c r="AN22" s="229">
        <v>30</v>
      </c>
      <c r="AO22" s="219">
        <f t="shared" si="1"/>
        <v>45213</v>
      </c>
      <c r="AP22" s="178" t="s">
        <v>94</v>
      </c>
      <c r="AQ22" s="201" t="str">
        <f ca="1">IF(AND(AO22&lt;TODAY(),Table13[[#This Row],[Payment Status]]="Pending"),"Past Due", "OK")</f>
        <v>OK</v>
      </c>
    </row>
    <row r="23" spans="1:43" hidden="1">
      <c r="A23" s="173">
        <v>45078</v>
      </c>
      <c r="B23" s="174" t="s">
        <v>63</v>
      </c>
      <c r="C23" s="175" t="s">
        <v>449</v>
      </c>
      <c r="D23" s="174" t="s">
        <v>427</v>
      </c>
      <c r="E23" s="174" t="s">
        <v>89</v>
      </c>
      <c r="F23" s="174" t="s">
        <v>89</v>
      </c>
      <c r="G23" s="176" t="s">
        <v>317</v>
      </c>
      <c r="H23" s="177" t="s">
        <v>108</v>
      </c>
      <c r="I23" s="177" t="s">
        <v>109</v>
      </c>
      <c r="J23" s="177" t="s">
        <v>49</v>
      </c>
      <c r="K23" s="177"/>
      <c r="L23" s="178">
        <v>47048.77</v>
      </c>
      <c r="M23" s="179">
        <f>Table13[[#This Row],[Quoted Rev]]/Table13[[#This Row],[PO Amount]]</f>
        <v>0.47715848894668239</v>
      </c>
      <c r="N23" s="178">
        <v>22449.72</v>
      </c>
      <c r="O23" s="178">
        <v>24599.05</v>
      </c>
      <c r="P23" s="178">
        <f t="shared" si="3"/>
        <v>23989.19</v>
      </c>
      <c r="Q23" s="181" t="s">
        <v>51</v>
      </c>
      <c r="R23" s="178">
        <f>(O23-P23)+N23</f>
        <v>23059.58</v>
      </c>
      <c r="S23" s="179">
        <f t="shared" si="4"/>
        <v>0.49012078317881641</v>
      </c>
      <c r="T23" s="182" t="s">
        <v>491</v>
      </c>
      <c r="U23" s="178">
        <v>23329.053800000002</v>
      </c>
      <c r="V23" s="178">
        <v>23599.19</v>
      </c>
      <c r="W23" s="183">
        <f>V23/U23</f>
        <v>1.011579389473567</v>
      </c>
      <c r="X23" s="178">
        <v>1100</v>
      </c>
      <c r="Y23" s="178">
        <v>390</v>
      </c>
      <c r="Z23" s="184">
        <f>Y23/X23</f>
        <v>0.35454545454545455</v>
      </c>
      <c r="AA23" s="178">
        <v>0</v>
      </c>
      <c r="AB23" s="178">
        <v>0</v>
      </c>
      <c r="AC23" s="189" t="s">
        <v>89</v>
      </c>
      <c r="AD23" s="178">
        <v>0</v>
      </c>
      <c r="AE23" s="178">
        <v>0</v>
      </c>
      <c r="AF23" s="189" t="s">
        <v>89</v>
      </c>
      <c r="AG23" s="178" t="s">
        <v>52</v>
      </c>
      <c r="AH23" s="179">
        <v>1</v>
      </c>
      <c r="AI23" s="193">
        <v>1039</v>
      </c>
      <c r="AJ23" s="178" t="str">
        <f t="shared" si="5"/>
        <v>Invoiced</v>
      </c>
      <c r="AK23" s="178">
        <v>47048.77</v>
      </c>
      <c r="AL23" s="220">
        <v>45180</v>
      </c>
      <c r="AM23" s="215">
        <f>(Table13[[#This Row],[Invoice Date]]-Table13[[#This Row],[Month]])/7</f>
        <v>14.571428571428571</v>
      </c>
      <c r="AN23" s="229">
        <v>30</v>
      </c>
      <c r="AO23" s="219">
        <f t="shared" si="1"/>
        <v>45210</v>
      </c>
      <c r="AP23" s="178" t="s">
        <v>94</v>
      </c>
      <c r="AQ23" s="201" t="str">
        <f ca="1">IF(AND(AO23&lt;TODAY(),Table13[[#This Row],[Payment Status]]="Pending"),"Past Due", "OK")</f>
        <v>OK</v>
      </c>
    </row>
    <row r="24" spans="1:43" hidden="1">
      <c r="A24" s="173">
        <v>45078</v>
      </c>
      <c r="B24" s="174" t="s">
        <v>63</v>
      </c>
      <c r="C24" s="175" t="s">
        <v>450</v>
      </c>
      <c r="D24" s="174" t="s">
        <v>495</v>
      </c>
      <c r="E24" s="174" t="s">
        <v>89</v>
      </c>
      <c r="F24" s="174" t="s">
        <v>89</v>
      </c>
      <c r="G24" s="176" t="s">
        <v>320</v>
      </c>
      <c r="H24" s="177" t="s">
        <v>452</v>
      </c>
      <c r="I24" s="177" t="s">
        <v>506</v>
      </c>
      <c r="J24" s="177" t="s">
        <v>49</v>
      </c>
      <c r="K24" s="177"/>
      <c r="L24" s="178">
        <v>9552.6</v>
      </c>
      <c r="M24" s="179">
        <f>Table13[[#This Row],[Quoted Rev]]/Table13[[#This Row],[PO Amount]]</f>
        <v>0.63025773087955117</v>
      </c>
      <c r="N24" s="178">
        <v>6020.6</v>
      </c>
      <c r="O24" s="178">
        <v>3532</v>
      </c>
      <c r="P24" s="178">
        <f t="shared" si="3"/>
        <v>3232</v>
      </c>
      <c r="Q24" s="181" t="s">
        <v>51</v>
      </c>
      <c r="R24" s="178">
        <f>(O24-P24)+N24</f>
        <v>6320.6</v>
      </c>
      <c r="S24" s="179">
        <f t="shared" si="4"/>
        <v>0.6616627933756255</v>
      </c>
      <c r="T24" s="182" t="s">
        <v>491</v>
      </c>
      <c r="U24" s="178">
        <v>3232</v>
      </c>
      <c r="V24" s="178">
        <v>3232</v>
      </c>
      <c r="W24" s="184">
        <f>V24/U24</f>
        <v>1</v>
      </c>
      <c r="X24" s="178">
        <v>300</v>
      </c>
      <c r="Y24" s="178">
        <v>0</v>
      </c>
      <c r="Z24" s="184">
        <v>0</v>
      </c>
      <c r="AA24" s="178">
        <v>0</v>
      </c>
      <c r="AB24" s="178">
        <v>0</v>
      </c>
      <c r="AC24" s="189" t="s">
        <v>89</v>
      </c>
      <c r="AD24" s="178">
        <v>0</v>
      </c>
      <c r="AE24" s="178">
        <v>0</v>
      </c>
      <c r="AF24" s="189" t="s">
        <v>89</v>
      </c>
      <c r="AG24" s="178" t="s">
        <v>52</v>
      </c>
      <c r="AH24" s="179">
        <v>1</v>
      </c>
      <c r="AI24" s="193">
        <v>1040</v>
      </c>
      <c r="AJ24" s="178" t="str">
        <f t="shared" si="5"/>
        <v>Invoiced</v>
      </c>
      <c r="AK24" s="178">
        <v>9552.6</v>
      </c>
      <c r="AL24" s="220">
        <v>45180</v>
      </c>
      <c r="AM24" s="215">
        <f>(Table13[[#This Row],[Invoice Date]]-Table13[[#This Row],[Month]])/7</f>
        <v>14.571428571428571</v>
      </c>
      <c r="AN24" s="229">
        <v>45</v>
      </c>
      <c r="AO24" s="219">
        <f t="shared" si="1"/>
        <v>45225</v>
      </c>
      <c r="AP24" s="178" t="s">
        <v>94</v>
      </c>
      <c r="AQ24" s="201" t="str">
        <f ca="1">IF(AND(AO24&lt;TODAY(),Table13[[#This Row],[Payment Status]]="Pending"),"Past Due", "OK")</f>
        <v>OK</v>
      </c>
    </row>
    <row r="25" spans="1:43" ht="21" hidden="1" customHeight="1">
      <c r="A25" s="173">
        <v>45078</v>
      </c>
      <c r="B25" s="174" t="s">
        <v>63</v>
      </c>
      <c r="C25" s="175" t="s">
        <v>453</v>
      </c>
      <c r="D25" s="174" t="s">
        <v>427</v>
      </c>
      <c r="E25" s="174" t="s">
        <v>89</v>
      </c>
      <c r="F25" s="174" t="s">
        <v>89</v>
      </c>
      <c r="G25" s="176" t="s">
        <v>314</v>
      </c>
      <c r="H25" s="177" t="s">
        <v>112</v>
      </c>
      <c r="I25" s="177" t="s">
        <v>113</v>
      </c>
      <c r="J25" s="177" t="s">
        <v>3</v>
      </c>
      <c r="K25" s="177"/>
      <c r="L25" s="178">
        <v>29266.82</v>
      </c>
      <c r="M25" s="179">
        <f>Table13[[#This Row],[Quoted Rev]]/Table13[[#This Row],[PO Amount]]</f>
        <v>0.41468154039284078</v>
      </c>
      <c r="N25" s="182">
        <v>12136.41</v>
      </c>
      <c r="O25" s="182">
        <v>17130.41</v>
      </c>
      <c r="P25" s="178">
        <f t="shared" si="3"/>
        <v>16369.08</v>
      </c>
      <c r="Q25" s="181" t="s">
        <v>51</v>
      </c>
      <c r="R25" s="178">
        <f>(O25-P25)+N25</f>
        <v>12897.74</v>
      </c>
      <c r="S25" s="179">
        <f t="shared" si="4"/>
        <v>0.4406949576346183</v>
      </c>
      <c r="T25" s="182" t="s">
        <v>491</v>
      </c>
      <c r="U25" s="178">
        <v>15780.41</v>
      </c>
      <c r="V25" s="178">
        <v>15981.85</v>
      </c>
      <c r="W25" s="183">
        <f>V25/U25</f>
        <v>1.0127651943137093</v>
      </c>
      <c r="X25" s="194">
        <v>500</v>
      </c>
      <c r="Y25" s="178">
        <v>387.23</v>
      </c>
      <c r="Z25" s="191">
        <f>Y25/X25</f>
        <v>0.77446000000000004</v>
      </c>
      <c r="AA25" s="178">
        <v>850</v>
      </c>
      <c r="AB25" s="178">
        <v>0</v>
      </c>
      <c r="AC25" s="191">
        <f>AB25/AA25</f>
        <v>0</v>
      </c>
      <c r="AD25" s="178">
        <v>0</v>
      </c>
      <c r="AE25" s="178">
        <v>0</v>
      </c>
      <c r="AF25" s="189" t="s">
        <v>89</v>
      </c>
      <c r="AG25" s="178" t="s">
        <v>52</v>
      </c>
      <c r="AH25" s="179">
        <v>1</v>
      </c>
      <c r="AI25" s="193">
        <v>1037</v>
      </c>
      <c r="AJ25" s="178" t="str">
        <f t="shared" si="5"/>
        <v>Invoiced</v>
      </c>
      <c r="AK25" s="178">
        <v>29266.82</v>
      </c>
      <c r="AL25" s="220">
        <v>45166</v>
      </c>
      <c r="AM25" s="215">
        <f>(Table13[[#This Row],[Invoice Date]]-Table13[[#This Row],[Month]])/7</f>
        <v>12.571428571428571</v>
      </c>
      <c r="AN25" s="229">
        <v>30</v>
      </c>
      <c r="AO25" s="219">
        <f t="shared" si="1"/>
        <v>45196</v>
      </c>
      <c r="AP25" s="178" t="s">
        <v>94</v>
      </c>
      <c r="AQ25" s="201" t="str">
        <f ca="1">IF(AND(AO25&lt;TODAY(),Table13[[#This Row],[Payment Status]]="Pending"),"Past Due", "OK")</f>
        <v>OK</v>
      </c>
    </row>
    <row r="26" spans="1:43" ht="13.9" customHeight="1">
      <c r="A26" s="173">
        <v>45078</v>
      </c>
      <c r="B26" s="174" t="s">
        <v>63</v>
      </c>
      <c r="C26" s="175" t="s">
        <v>454</v>
      </c>
      <c r="D26" s="174" t="s">
        <v>427</v>
      </c>
      <c r="E26" s="174" t="s">
        <v>89</v>
      </c>
      <c r="F26" s="174" t="s">
        <v>89</v>
      </c>
      <c r="G26" s="195" t="s">
        <v>336</v>
      </c>
      <c r="H26" s="177" t="s">
        <v>112</v>
      </c>
      <c r="I26" s="177" t="s">
        <v>113</v>
      </c>
      <c r="J26" s="177" t="s">
        <v>3</v>
      </c>
      <c r="K26" s="177" t="s">
        <v>92</v>
      </c>
      <c r="L26" s="178">
        <f>29250.06+1625+845+34737.28+1625+845</f>
        <v>68927.34</v>
      </c>
      <c r="M26" s="179">
        <f>Table13[[#This Row],[Quoted Rev]]/Table13[[#This Row],[PO Amount]]</f>
        <v>0.37402487895224162</v>
      </c>
      <c r="N26" s="178">
        <f>13838.28+11942.26</f>
        <v>25780.54</v>
      </c>
      <c r="O26" s="178">
        <f>23369+19777.8</f>
        <v>43146.8</v>
      </c>
      <c r="P26" s="178">
        <f t="shared" si="3"/>
        <v>0</v>
      </c>
      <c r="Q26" s="181" t="s">
        <v>51</v>
      </c>
      <c r="R26" s="178"/>
      <c r="S26" s="179">
        <f t="shared" si="4"/>
        <v>0</v>
      </c>
      <c r="T26" s="182" t="s">
        <v>491</v>
      </c>
      <c r="U26" s="178">
        <v>0</v>
      </c>
      <c r="V26" s="178">
        <v>0</v>
      </c>
      <c r="W26" s="189" t="s">
        <v>89</v>
      </c>
      <c r="X26" s="178">
        <v>0</v>
      </c>
      <c r="Y26" s="178">
        <v>0</v>
      </c>
      <c r="Z26" s="189" t="s">
        <v>89</v>
      </c>
      <c r="AA26" s="178">
        <v>0</v>
      </c>
      <c r="AB26" s="178">
        <v>0</v>
      </c>
      <c r="AC26" s="189" t="s">
        <v>89</v>
      </c>
      <c r="AD26" s="178">
        <v>0</v>
      </c>
      <c r="AE26" s="178">
        <v>0</v>
      </c>
      <c r="AF26" s="189" t="s">
        <v>89</v>
      </c>
      <c r="AG26" s="178" t="s">
        <v>52</v>
      </c>
      <c r="AH26" s="179">
        <v>1</v>
      </c>
      <c r="AI26" s="193">
        <v>1060</v>
      </c>
      <c r="AJ26" s="178" t="str">
        <f t="shared" si="5"/>
        <v>Invoiced</v>
      </c>
      <c r="AK26" s="178">
        <v>8516.07</v>
      </c>
      <c r="AL26" s="220">
        <v>45293</v>
      </c>
      <c r="AM26" s="215">
        <f>(Table13[[#This Row],[Invoice Date]]-Table13[[#This Row],[Month]])/7</f>
        <v>30.714285714285715</v>
      </c>
      <c r="AN26" s="229">
        <v>30</v>
      </c>
      <c r="AO26" s="219">
        <f t="shared" si="1"/>
        <v>45323</v>
      </c>
      <c r="AP26" s="178" t="s">
        <v>53</v>
      </c>
      <c r="AQ26" s="201" t="str">
        <f ca="1">IF(AND(AO26&lt;TODAY(),Table13[[#This Row],[Payment Status]]="Pending"),"Past Due", "OK")</f>
        <v>Past Due</v>
      </c>
    </row>
    <row r="27" spans="1:43" hidden="1">
      <c r="A27" s="173">
        <v>45078</v>
      </c>
      <c r="B27" s="174" t="s">
        <v>44</v>
      </c>
      <c r="C27" s="175" t="s">
        <v>507</v>
      </c>
      <c r="D27" s="174" t="s">
        <v>6</v>
      </c>
      <c r="E27" s="174" t="s">
        <v>508</v>
      </c>
      <c r="F27" s="174">
        <v>1756</v>
      </c>
      <c r="G27" s="176" t="s">
        <v>305</v>
      </c>
      <c r="H27" s="177" t="s">
        <v>485</v>
      </c>
      <c r="I27" s="177" t="s">
        <v>505</v>
      </c>
      <c r="J27" s="177" t="s">
        <v>49</v>
      </c>
      <c r="K27" s="177"/>
      <c r="L27" s="178">
        <v>3986.05</v>
      </c>
      <c r="M27" s="179">
        <f>Table13[[#This Row],[Quoted Rev]]/Table13[[#This Row],[PO Amount]]</f>
        <v>0.26450746980093076</v>
      </c>
      <c r="N27" s="178">
        <f>L27-O27</f>
        <v>1054.3400000000001</v>
      </c>
      <c r="O27" s="178">
        <v>2931.71</v>
      </c>
      <c r="P27" s="178">
        <f t="shared" si="3"/>
        <v>2931.71</v>
      </c>
      <c r="Q27" s="181" t="s">
        <v>51</v>
      </c>
      <c r="R27" s="178">
        <f>(O27-P27)+N27</f>
        <v>1054.3400000000001</v>
      </c>
      <c r="S27" s="179">
        <f t="shared" si="4"/>
        <v>0.26450746980093076</v>
      </c>
      <c r="T27" s="182" t="s">
        <v>491</v>
      </c>
      <c r="U27" s="178">
        <v>2931.71</v>
      </c>
      <c r="V27" s="178">
        <v>2931.71</v>
      </c>
      <c r="W27" s="184">
        <f>V27/U27</f>
        <v>1</v>
      </c>
      <c r="X27" s="178">
        <v>0</v>
      </c>
      <c r="Y27" s="178">
        <v>0</v>
      </c>
      <c r="Z27" s="196" t="s">
        <v>51</v>
      </c>
      <c r="AA27" s="178">
        <v>0</v>
      </c>
      <c r="AB27" s="178">
        <v>0</v>
      </c>
      <c r="AC27" s="189" t="s">
        <v>89</v>
      </c>
      <c r="AD27" s="178">
        <v>0</v>
      </c>
      <c r="AE27" s="178">
        <v>0</v>
      </c>
      <c r="AF27" s="190" t="s">
        <v>499</v>
      </c>
      <c r="AG27" s="178" t="s">
        <v>98</v>
      </c>
      <c r="AH27" s="179">
        <v>0.3</v>
      </c>
      <c r="AI27" s="193">
        <v>1026</v>
      </c>
      <c r="AJ27" s="178" t="str">
        <f t="shared" si="5"/>
        <v>Invoiced</v>
      </c>
      <c r="AK27" s="178">
        <v>1195.81</v>
      </c>
      <c r="AL27" s="220">
        <v>45105</v>
      </c>
      <c r="AM27" s="215">
        <f>(Table13[[#This Row],[Invoice Date]]-Table13[[#This Row],[Month]])/7</f>
        <v>3.8571428571428572</v>
      </c>
      <c r="AN27" s="229">
        <v>0</v>
      </c>
      <c r="AO27" s="219">
        <f t="shared" si="1"/>
        <v>45105</v>
      </c>
      <c r="AP27" s="178" t="s">
        <v>94</v>
      </c>
      <c r="AQ27" s="201" t="str">
        <f ca="1">IF(AND(AO27&lt;TODAY(),Table13[[#This Row],[Payment Status]]="Pending"),"Past Due", "OK")</f>
        <v>OK</v>
      </c>
    </row>
    <row r="28" spans="1:43" hidden="1">
      <c r="A28" s="173">
        <v>45078</v>
      </c>
      <c r="B28" s="174" t="s">
        <v>44</v>
      </c>
      <c r="C28" s="175" t="s">
        <v>507</v>
      </c>
      <c r="D28" s="174" t="s">
        <v>6</v>
      </c>
      <c r="E28" s="174" t="s">
        <v>89</v>
      </c>
      <c r="F28" s="174">
        <v>1797</v>
      </c>
      <c r="G28" s="176" t="s">
        <v>305</v>
      </c>
      <c r="H28" s="177" t="s">
        <v>485</v>
      </c>
      <c r="I28" s="177" t="s">
        <v>505</v>
      </c>
      <c r="J28" s="177" t="s">
        <v>49</v>
      </c>
      <c r="K28" s="177"/>
      <c r="L28" s="185">
        <v>0</v>
      </c>
      <c r="M28" s="185" t="s">
        <v>492</v>
      </c>
      <c r="N28" s="186">
        <v>0</v>
      </c>
      <c r="O28" s="186">
        <v>0</v>
      </c>
      <c r="P28" s="186">
        <v>0</v>
      </c>
      <c r="Q28" s="186" t="s">
        <v>492</v>
      </c>
      <c r="R28" s="186" t="s">
        <v>492</v>
      </c>
      <c r="S28" s="186"/>
      <c r="T28" s="182" t="s">
        <v>491</v>
      </c>
      <c r="U28" s="186" t="s">
        <v>492</v>
      </c>
      <c r="V28" s="186" t="s">
        <v>492</v>
      </c>
      <c r="W28" s="186" t="s">
        <v>492</v>
      </c>
      <c r="X28" s="186" t="s">
        <v>492</v>
      </c>
      <c r="Y28" s="186" t="s">
        <v>492</v>
      </c>
      <c r="Z28" s="186" t="s">
        <v>492</v>
      </c>
      <c r="AA28" s="186" t="s">
        <v>492</v>
      </c>
      <c r="AB28" s="186" t="s">
        <v>492</v>
      </c>
      <c r="AC28" s="186" t="s">
        <v>492</v>
      </c>
      <c r="AD28" s="186" t="s">
        <v>492</v>
      </c>
      <c r="AE28" s="186" t="s">
        <v>492</v>
      </c>
      <c r="AF28" s="186" t="s">
        <v>492</v>
      </c>
      <c r="AG28" s="178" t="s">
        <v>52</v>
      </c>
      <c r="AH28" s="179">
        <v>0.7</v>
      </c>
      <c r="AI28" s="193">
        <v>1030</v>
      </c>
      <c r="AJ28" s="178" t="str">
        <f t="shared" si="5"/>
        <v>Invoiced</v>
      </c>
      <c r="AK28" s="178">
        <v>2790.24</v>
      </c>
      <c r="AL28" s="220">
        <v>45152</v>
      </c>
      <c r="AM28" s="215">
        <f>(Table13[[#This Row],[Invoice Date]]-Table13[[#This Row],[Month]])/7</f>
        <v>10.571428571428571</v>
      </c>
      <c r="AN28" s="229">
        <v>30</v>
      </c>
      <c r="AO28" s="219">
        <f t="shared" si="1"/>
        <v>45182</v>
      </c>
      <c r="AP28" s="178" t="s">
        <v>94</v>
      </c>
      <c r="AQ28" s="201" t="str">
        <f ca="1">IF(AND(AO28&lt;TODAY(),Table13[[#This Row],[Payment Status]]="Pending"),"Past Due", "OK")</f>
        <v>OK</v>
      </c>
    </row>
    <row r="29" spans="1:43" hidden="1">
      <c r="A29" s="173">
        <v>45108</v>
      </c>
      <c r="B29" s="174" t="s">
        <v>63</v>
      </c>
      <c r="C29" s="175" t="s">
        <v>455</v>
      </c>
      <c r="D29" s="174" t="s">
        <v>495</v>
      </c>
      <c r="E29" s="174" t="s">
        <v>89</v>
      </c>
      <c r="F29" s="174" t="s">
        <v>89</v>
      </c>
      <c r="G29" s="176" t="s">
        <v>323</v>
      </c>
      <c r="H29" s="177" t="s">
        <v>108</v>
      </c>
      <c r="I29" s="177" t="s">
        <v>109</v>
      </c>
      <c r="J29" s="177" t="s">
        <v>49</v>
      </c>
      <c r="K29" s="177"/>
      <c r="L29" s="178">
        <v>18127.3</v>
      </c>
      <c r="M29" s="179">
        <f>Table13[[#This Row],[Quoted Rev]]/Table13[[#This Row],[PO Amount]]</f>
        <v>0.38098889520226403</v>
      </c>
      <c r="N29" s="178">
        <v>6906.3</v>
      </c>
      <c r="O29" s="178">
        <v>11221</v>
      </c>
      <c r="P29" s="178">
        <f t="shared" ref="P29:P34" si="6">V29+Y29+AB29</f>
        <v>11952.3</v>
      </c>
      <c r="Q29" s="181" t="s">
        <v>51</v>
      </c>
      <c r="R29" s="178">
        <f t="shared" ref="R29:R34" si="7">(O29-P29)+N29</f>
        <v>6175.0000000000009</v>
      </c>
      <c r="S29" s="179">
        <f t="shared" ref="S29" si="8">R29/L29</f>
        <v>0.34064642831530351</v>
      </c>
      <c r="T29" s="182" t="s">
        <v>491</v>
      </c>
      <c r="U29" s="178">
        <v>12202.3</v>
      </c>
      <c r="V29" s="178">
        <f>15275.35-V36</f>
        <v>11952.3</v>
      </c>
      <c r="W29" s="184">
        <f>V29/U29</f>
        <v>0.97951205920195372</v>
      </c>
      <c r="X29" s="178">
        <v>0</v>
      </c>
      <c r="Y29" s="178">
        <v>0</v>
      </c>
      <c r="Z29" s="189" t="s">
        <v>89</v>
      </c>
      <c r="AA29" s="178">
        <v>0</v>
      </c>
      <c r="AB29" s="178">
        <v>0</v>
      </c>
      <c r="AC29" s="189" t="s">
        <v>89</v>
      </c>
      <c r="AD29" s="178">
        <v>0</v>
      </c>
      <c r="AE29" s="178">
        <v>0</v>
      </c>
      <c r="AF29" s="190" t="s">
        <v>499</v>
      </c>
      <c r="AG29" s="178" t="s">
        <v>52</v>
      </c>
      <c r="AH29" s="179">
        <v>1</v>
      </c>
      <c r="AI29" s="193">
        <v>1048</v>
      </c>
      <c r="AJ29" s="178" t="str">
        <f>IF(AI29&gt;0,"Invoiced", "Pending")</f>
        <v>Invoiced</v>
      </c>
      <c r="AK29" s="178">
        <v>18127.3</v>
      </c>
      <c r="AL29" s="220">
        <v>45202</v>
      </c>
      <c r="AM29" s="215">
        <f>(Table13[[#This Row],[Invoice Date]]-Table13[[#This Row],[Month]])/7</f>
        <v>13.428571428571429</v>
      </c>
      <c r="AN29" s="229">
        <v>30</v>
      </c>
      <c r="AO29" s="219">
        <f t="shared" si="1"/>
        <v>45232</v>
      </c>
      <c r="AP29" s="178" t="s">
        <v>94</v>
      </c>
      <c r="AQ29" s="201" t="str">
        <f ca="1">IF(AND(AO29&lt;TODAY(),Table13[[#This Row],[Payment Status]]="Pending"),"Past Due", "OK")</f>
        <v>OK</v>
      </c>
    </row>
    <row r="30" spans="1:43" hidden="1">
      <c r="A30" s="173">
        <v>45161</v>
      </c>
      <c r="B30" s="174" t="s">
        <v>63</v>
      </c>
      <c r="C30" s="175" t="s">
        <v>456</v>
      </c>
      <c r="D30" s="174" t="s">
        <v>495</v>
      </c>
      <c r="E30" s="174" t="s">
        <v>89</v>
      </c>
      <c r="F30" s="174" t="s">
        <v>89</v>
      </c>
      <c r="G30" s="176" t="s">
        <v>320</v>
      </c>
      <c r="H30" s="177" t="s">
        <v>452</v>
      </c>
      <c r="I30" s="177" t="s">
        <v>506</v>
      </c>
      <c r="J30" s="177" t="s">
        <v>49</v>
      </c>
      <c r="K30" s="177"/>
      <c r="L30" s="178">
        <v>3455.2</v>
      </c>
      <c r="M30" s="179">
        <f>Table13[[#This Row],[Quoted Rev]]/Table13[[#This Row],[PO Amount]]</f>
        <v>0.28571428571428575</v>
      </c>
      <c r="N30" s="178">
        <v>987.2</v>
      </c>
      <c r="O30" s="178">
        <v>2468</v>
      </c>
      <c r="P30" s="178">
        <f t="shared" si="6"/>
        <v>2468</v>
      </c>
      <c r="Q30" s="181" t="s">
        <v>51</v>
      </c>
      <c r="R30" s="178">
        <f t="shared" si="7"/>
        <v>987.2</v>
      </c>
      <c r="S30" s="179">
        <f>R30/L30</f>
        <v>0.28571428571428575</v>
      </c>
      <c r="T30" s="182" t="s">
        <v>491</v>
      </c>
      <c r="U30" s="178">
        <v>2468</v>
      </c>
      <c r="V30" s="178">
        <v>2468</v>
      </c>
      <c r="W30" s="191">
        <f>V30/U30</f>
        <v>1</v>
      </c>
      <c r="X30" s="178">
        <v>0</v>
      </c>
      <c r="Y30" s="178">
        <v>0</v>
      </c>
      <c r="Z30" s="189" t="s">
        <v>89</v>
      </c>
      <c r="AA30" s="178">
        <v>0</v>
      </c>
      <c r="AB30" s="178">
        <v>0</v>
      </c>
      <c r="AC30" s="189" t="s">
        <v>89</v>
      </c>
      <c r="AD30" s="178">
        <v>0</v>
      </c>
      <c r="AE30" s="178">
        <v>0</v>
      </c>
      <c r="AF30" s="190" t="s">
        <v>499</v>
      </c>
      <c r="AG30" s="178" t="s">
        <v>52</v>
      </c>
      <c r="AH30" s="179">
        <v>1</v>
      </c>
      <c r="AI30" s="193">
        <v>1041</v>
      </c>
      <c r="AJ30" s="178" t="str">
        <f t="shared" ref="AJ30:AJ37" si="9">IF(AI30&gt;0,"Invoiced", "Pending")</f>
        <v>Invoiced</v>
      </c>
      <c r="AK30" s="178">
        <v>3455.2</v>
      </c>
      <c r="AL30" s="220">
        <v>45180</v>
      </c>
      <c r="AM30" s="215">
        <f>(Table13[[#This Row],[Invoice Date]]-Table13[[#This Row],[Month]])/7</f>
        <v>2.7142857142857144</v>
      </c>
      <c r="AN30" s="229">
        <v>45</v>
      </c>
      <c r="AO30" s="219">
        <f t="shared" si="1"/>
        <v>45225</v>
      </c>
      <c r="AP30" s="178" t="s">
        <v>94</v>
      </c>
      <c r="AQ30" s="201" t="str">
        <f ca="1">IF(AND(AO30&lt;TODAY(),Table13[[#This Row],[Payment Status]]="Pending"),"Past Due", "OK")</f>
        <v>OK</v>
      </c>
    </row>
    <row r="31" spans="1:43" hidden="1">
      <c r="A31" s="173">
        <v>45161</v>
      </c>
      <c r="B31" s="174" t="s">
        <v>63</v>
      </c>
      <c r="C31" s="175" t="s">
        <v>458</v>
      </c>
      <c r="D31" s="174" t="s">
        <v>495</v>
      </c>
      <c r="E31" s="174" t="s">
        <v>89</v>
      </c>
      <c r="F31" s="174" t="s">
        <v>89</v>
      </c>
      <c r="G31" s="176" t="s">
        <v>313</v>
      </c>
      <c r="H31" s="177" t="s">
        <v>108</v>
      </c>
      <c r="I31" s="177" t="s">
        <v>109</v>
      </c>
      <c r="J31" s="177" t="s">
        <v>49</v>
      </c>
      <c r="K31" s="177"/>
      <c r="L31" s="178">
        <v>2500</v>
      </c>
      <c r="M31" s="179">
        <f>Table13[[#This Row],[Quoted Rev]]/Table13[[#This Row],[PO Amount]]</f>
        <v>0.88</v>
      </c>
      <c r="N31" s="178">
        <v>2200</v>
      </c>
      <c r="O31" s="178">
        <v>300</v>
      </c>
      <c r="P31" s="178">
        <f t="shared" si="6"/>
        <v>0</v>
      </c>
      <c r="Q31" s="181" t="s">
        <v>51</v>
      </c>
      <c r="R31" s="178">
        <f t="shared" si="7"/>
        <v>2500</v>
      </c>
      <c r="S31" s="179">
        <f>R31/L31</f>
        <v>1</v>
      </c>
      <c r="T31" s="182" t="s">
        <v>491</v>
      </c>
      <c r="U31" s="178">
        <v>0</v>
      </c>
      <c r="V31" s="178">
        <v>0</v>
      </c>
      <c r="W31" s="189" t="s">
        <v>89</v>
      </c>
      <c r="X31" s="178">
        <v>0</v>
      </c>
      <c r="Y31" s="178">
        <v>0</v>
      </c>
      <c r="Z31" s="189" t="s">
        <v>89</v>
      </c>
      <c r="AA31" s="178">
        <v>300</v>
      </c>
      <c r="AB31" s="178">
        <v>0</v>
      </c>
      <c r="AC31" s="191">
        <f>AB31/AA31</f>
        <v>0</v>
      </c>
      <c r="AD31" s="178">
        <v>2200</v>
      </c>
      <c r="AE31" s="178">
        <v>0</v>
      </c>
      <c r="AF31" s="190" t="s">
        <v>499</v>
      </c>
      <c r="AG31" s="178" t="s">
        <v>52</v>
      </c>
      <c r="AH31" s="179">
        <v>1</v>
      </c>
      <c r="AI31" s="193">
        <v>1036</v>
      </c>
      <c r="AJ31" s="178" t="str">
        <f t="shared" si="9"/>
        <v>Invoiced</v>
      </c>
      <c r="AK31" s="178">
        <v>2500</v>
      </c>
      <c r="AL31" s="220">
        <v>45166</v>
      </c>
      <c r="AM31" s="215">
        <f>(Table13[[#This Row],[Invoice Date]]-Table13[[#This Row],[Month]])/7</f>
        <v>0.7142857142857143</v>
      </c>
      <c r="AN31" s="229">
        <v>30</v>
      </c>
      <c r="AO31" s="219">
        <f t="shared" si="1"/>
        <v>45196</v>
      </c>
      <c r="AP31" s="178" t="s">
        <v>94</v>
      </c>
      <c r="AQ31" s="201" t="str">
        <f ca="1">IF(AND(AO31&lt;TODAY(),Table13[[#This Row],[Payment Status]]="Pending"),"Past Due", "OK")</f>
        <v>OK</v>
      </c>
    </row>
    <row r="32" spans="1:43" hidden="1">
      <c r="A32" s="173">
        <v>45161</v>
      </c>
      <c r="B32" s="174" t="s">
        <v>63</v>
      </c>
      <c r="C32" s="175" t="s">
        <v>509</v>
      </c>
      <c r="D32" s="174" t="s">
        <v>88</v>
      </c>
      <c r="E32" s="174" t="s">
        <v>89</v>
      </c>
      <c r="F32" s="174" t="s">
        <v>89</v>
      </c>
      <c r="G32" s="176" t="s">
        <v>324</v>
      </c>
      <c r="H32" s="177" t="s">
        <v>108</v>
      </c>
      <c r="I32" s="177" t="s">
        <v>109</v>
      </c>
      <c r="J32" s="177" t="s">
        <v>49</v>
      </c>
      <c r="K32" s="177"/>
      <c r="L32" s="178">
        <v>28359.32</v>
      </c>
      <c r="M32" s="232">
        <f>Table13[[#This Row],[Quoted Rev]]/Table13[[#This Row],[PO Amount]]</f>
        <v>0.40400510308427706</v>
      </c>
      <c r="N32" s="178">
        <v>11457.31</v>
      </c>
      <c r="O32" s="178">
        <v>16902.009999999998</v>
      </c>
      <c r="P32" s="178">
        <f t="shared" si="6"/>
        <v>16981.05</v>
      </c>
      <c r="Q32" s="181" t="s">
        <v>51</v>
      </c>
      <c r="R32" s="178">
        <f t="shared" si="7"/>
        <v>11378.269999999999</v>
      </c>
      <c r="S32" s="231">
        <f>R32/L32</f>
        <v>0.40121801227956094</v>
      </c>
      <c r="T32" s="182" t="s">
        <v>491</v>
      </c>
      <c r="U32" s="178">
        <v>16252.022500000001</v>
      </c>
      <c r="V32" s="178">
        <v>16583.05</v>
      </c>
      <c r="W32" s="183">
        <f>V32/U32</f>
        <v>1.020368387996017</v>
      </c>
      <c r="X32" s="178">
        <v>650</v>
      </c>
      <c r="Y32" s="178">
        <v>398</v>
      </c>
      <c r="Z32" s="191">
        <f>Y32/X32</f>
        <v>0.61230769230769233</v>
      </c>
      <c r="AA32" s="178">
        <v>0</v>
      </c>
      <c r="AB32" s="178">
        <v>0</v>
      </c>
      <c r="AC32" s="189" t="s">
        <v>89</v>
      </c>
      <c r="AD32" s="178"/>
      <c r="AE32" s="178"/>
      <c r="AF32" s="190"/>
      <c r="AG32" s="178" t="s">
        <v>52</v>
      </c>
      <c r="AH32" s="179">
        <v>1</v>
      </c>
      <c r="AI32" s="193">
        <v>1050</v>
      </c>
      <c r="AJ32" s="178" t="str">
        <f t="shared" si="9"/>
        <v>Invoiced</v>
      </c>
      <c r="AK32" s="178">
        <f>L32*AH32</f>
        <v>28359.32</v>
      </c>
      <c r="AL32" s="220">
        <v>45216</v>
      </c>
      <c r="AM32" s="215">
        <f>(Table13[[#This Row],[Invoice Date]]-Table13[[#This Row],[Month]])/7</f>
        <v>7.8571428571428568</v>
      </c>
      <c r="AN32" s="229">
        <v>30</v>
      </c>
      <c r="AO32" s="219">
        <f t="shared" si="1"/>
        <v>45246</v>
      </c>
      <c r="AP32" s="178" t="s">
        <v>94</v>
      </c>
      <c r="AQ32" s="201" t="str">
        <f ca="1">IF(AND(AO32&lt;TODAY(),Table13[[#This Row],[Payment Status]]="Pending"),"Past Due", "OK")</f>
        <v>OK</v>
      </c>
    </row>
    <row r="33" spans="1:43">
      <c r="A33" s="173">
        <v>45161</v>
      </c>
      <c r="B33" s="174" t="s">
        <v>63</v>
      </c>
      <c r="C33" s="175" t="s">
        <v>459</v>
      </c>
      <c r="D33" s="174" t="s">
        <v>427</v>
      </c>
      <c r="E33" s="174" t="s">
        <v>89</v>
      </c>
      <c r="F33" s="174" t="s">
        <v>89</v>
      </c>
      <c r="G33" s="195" t="s">
        <v>336</v>
      </c>
      <c r="H33" s="177" t="s">
        <v>112</v>
      </c>
      <c r="I33" s="177" t="s">
        <v>113</v>
      </c>
      <c r="J33" s="177" t="s">
        <v>3</v>
      </c>
      <c r="K33" s="177" t="s">
        <v>92</v>
      </c>
      <c r="L33" s="178">
        <v>8739.07</v>
      </c>
      <c r="M33" s="179">
        <f>Table13[[#This Row],[Quoted Rev]]/Table13[[#This Row],[PO Amount]]</f>
        <v>0.62774860482866024</v>
      </c>
      <c r="N33" s="178">
        <v>5485.9389999999994</v>
      </c>
      <c r="O33" s="178">
        <v>3253.1299999999983</v>
      </c>
      <c r="P33" s="178">
        <f t="shared" si="6"/>
        <v>0</v>
      </c>
      <c r="Q33" s="181" t="s">
        <v>51</v>
      </c>
      <c r="R33" s="178">
        <f t="shared" si="7"/>
        <v>8739.0689999999977</v>
      </c>
      <c r="S33" s="179">
        <f>R33/L33</f>
        <v>0.99999988557134778</v>
      </c>
      <c r="T33" s="182" t="s">
        <v>491</v>
      </c>
      <c r="U33" s="197"/>
      <c r="V33" s="197"/>
      <c r="W33" s="198"/>
      <c r="X33" s="197"/>
      <c r="Y33" s="197"/>
      <c r="Z33" s="198"/>
      <c r="AA33" s="197"/>
      <c r="AB33" s="197"/>
      <c r="AC33" s="198"/>
      <c r="AD33" s="197"/>
      <c r="AE33" s="197"/>
      <c r="AF33" s="198"/>
      <c r="AG33" s="178" t="s">
        <v>52</v>
      </c>
      <c r="AH33" s="179">
        <v>1</v>
      </c>
      <c r="AI33" s="193">
        <v>1059</v>
      </c>
      <c r="AJ33" s="178" t="str">
        <f t="shared" si="9"/>
        <v>Invoiced</v>
      </c>
      <c r="AK33" s="178">
        <v>4840</v>
      </c>
      <c r="AL33" s="220">
        <v>45293</v>
      </c>
      <c r="AM33" s="215">
        <f>(Table13[[#This Row],[Invoice Date]]-Table13[[#This Row],[Month]])/7</f>
        <v>18.857142857142858</v>
      </c>
      <c r="AN33" s="229">
        <v>30</v>
      </c>
      <c r="AO33" s="219">
        <f t="shared" si="1"/>
        <v>45323</v>
      </c>
      <c r="AP33" s="178" t="s">
        <v>53</v>
      </c>
      <c r="AQ33" s="201" t="str">
        <f ca="1">IF(AND(AO33&lt;TODAY(),Table13[[#This Row],[Payment Status]]="Pending"),"Past Due", "OK")</f>
        <v>Past Due</v>
      </c>
    </row>
    <row r="34" spans="1:43" ht="25.5" hidden="1">
      <c r="A34" s="173">
        <v>45161</v>
      </c>
      <c r="B34" s="174" t="s">
        <v>57</v>
      </c>
      <c r="C34" s="175" t="s">
        <v>510</v>
      </c>
      <c r="D34" s="174" t="s">
        <v>6</v>
      </c>
      <c r="E34" s="174" t="s">
        <v>511</v>
      </c>
      <c r="F34" s="174">
        <v>1803</v>
      </c>
      <c r="G34" s="176" t="s">
        <v>301</v>
      </c>
      <c r="H34" s="177" t="s">
        <v>240</v>
      </c>
      <c r="I34" s="177" t="s">
        <v>497</v>
      </c>
      <c r="J34" s="177" t="s">
        <v>49</v>
      </c>
      <c r="K34" s="177"/>
      <c r="L34" s="178">
        <v>8917.93</v>
      </c>
      <c r="M34" s="179">
        <f>Table13[[#This Row],[Quoted Rev]]/Table13[[#This Row],[PO Amount]]</f>
        <v>0.17355372827550794</v>
      </c>
      <c r="N34" s="178">
        <f>L34-O34</f>
        <v>1547.7400000000007</v>
      </c>
      <c r="O34" s="178">
        <v>7370.19</v>
      </c>
      <c r="P34" s="178">
        <f t="shared" si="6"/>
        <v>7370.19</v>
      </c>
      <c r="Q34" s="181" t="s">
        <v>51</v>
      </c>
      <c r="R34" s="178">
        <f t="shared" si="7"/>
        <v>1547.7400000000007</v>
      </c>
      <c r="S34" s="179">
        <f>R34/L34</f>
        <v>0.17355372827550794</v>
      </c>
      <c r="T34" s="182" t="s">
        <v>498</v>
      </c>
      <c r="U34" s="178">
        <v>7370.19</v>
      </c>
      <c r="V34" s="178">
        <v>7370.19</v>
      </c>
      <c r="W34" s="191">
        <f>V34/U34</f>
        <v>1</v>
      </c>
      <c r="X34" s="178">
        <v>0</v>
      </c>
      <c r="Y34" s="178">
        <v>0</v>
      </c>
      <c r="Z34" s="189" t="s">
        <v>89</v>
      </c>
      <c r="AA34" s="178">
        <v>0</v>
      </c>
      <c r="AB34" s="178">
        <v>0</v>
      </c>
      <c r="AC34" s="189" t="s">
        <v>89</v>
      </c>
      <c r="AD34" s="178">
        <v>0</v>
      </c>
      <c r="AE34" s="178">
        <v>0</v>
      </c>
      <c r="AF34" s="190" t="s">
        <v>499</v>
      </c>
      <c r="AG34" s="178" t="s">
        <v>98</v>
      </c>
      <c r="AH34" s="179">
        <v>0.5</v>
      </c>
      <c r="AI34" s="193">
        <v>1032</v>
      </c>
      <c r="AJ34" s="178" t="str">
        <f t="shared" si="9"/>
        <v>Invoiced</v>
      </c>
      <c r="AK34" s="178">
        <f>L34*AH34</f>
        <v>4458.9650000000001</v>
      </c>
      <c r="AL34" s="220">
        <v>45153</v>
      </c>
      <c r="AM34" s="215">
        <f>(Table13[[#This Row],[Invoice Date]]-Table13[[#This Row],[Month]])/7</f>
        <v>-1.1428571428571428</v>
      </c>
      <c r="AN34" s="229">
        <v>0</v>
      </c>
      <c r="AO34" s="219">
        <f t="shared" si="1"/>
        <v>45153</v>
      </c>
      <c r="AP34" s="178" t="s">
        <v>94</v>
      </c>
      <c r="AQ34" s="201" t="str">
        <f ca="1">IF(AND(AO34&lt;TODAY(),Table13[[#This Row],[Payment Status]]="Pending"),"Past Due", "OK")</f>
        <v>OK</v>
      </c>
    </row>
    <row r="35" spans="1:43" ht="25.5">
      <c r="A35" s="173">
        <v>45161</v>
      </c>
      <c r="B35" s="174" t="s">
        <v>57</v>
      </c>
      <c r="C35" s="175" t="s">
        <v>510</v>
      </c>
      <c r="D35" s="174" t="s">
        <v>6</v>
      </c>
      <c r="E35" s="174" t="s">
        <v>511</v>
      </c>
      <c r="F35" s="174" t="s">
        <v>53</v>
      </c>
      <c r="G35" s="176" t="s">
        <v>301</v>
      </c>
      <c r="H35" s="177" t="s">
        <v>240</v>
      </c>
      <c r="I35" s="177" t="s">
        <v>497</v>
      </c>
      <c r="J35" s="177" t="s">
        <v>49</v>
      </c>
      <c r="K35" s="177" t="s">
        <v>97</v>
      </c>
      <c r="L35" s="185">
        <v>0</v>
      </c>
      <c r="M35" s="185" t="s">
        <v>492</v>
      </c>
      <c r="N35" s="186">
        <v>0</v>
      </c>
      <c r="O35" s="186">
        <v>0</v>
      </c>
      <c r="P35" s="186">
        <v>0</v>
      </c>
      <c r="Q35" s="186" t="s">
        <v>492</v>
      </c>
      <c r="R35" s="186" t="s">
        <v>492</v>
      </c>
      <c r="S35" s="186"/>
      <c r="T35" s="182" t="s">
        <v>498</v>
      </c>
      <c r="U35" s="186" t="s">
        <v>492</v>
      </c>
      <c r="V35" s="186" t="s">
        <v>492</v>
      </c>
      <c r="W35" s="186" t="s">
        <v>492</v>
      </c>
      <c r="X35" s="186" t="s">
        <v>492</v>
      </c>
      <c r="Y35" s="186" t="s">
        <v>492</v>
      </c>
      <c r="Z35" s="186" t="s">
        <v>492</v>
      </c>
      <c r="AA35" s="186" t="s">
        <v>492</v>
      </c>
      <c r="AB35" s="186" t="s">
        <v>492</v>
      </c>
      <c r="AC35" s="186" t="s">
        <v>492</v>
      </c>
      <c r="AD35" s="186" t="s">
        <v>492</v>
      </c>
      <c r="AE35" s="186" t="s">
        <v>492</v>
      </c>
      <c r="AF35" s="186" t="s">
        <v>492</v>
      </c>
      <c r="AG35" s="178" t="s">
        <v>52</v>
      </c>
      <c r="AH35" s="179">
        <v>0.5</v>
      </c>
      <c r="AI35" s="193">
        <v>1078</v>
      </c>
      <c r="AJ35" s="178" t="s">
        <v>93</v>
      </c>
      <c r="AK35" s="178">
        <f>L34-AK34</f>
        <v>4458.9650000000001</v>
      </c>
      <c r="AL35" s="220">
        <v>45365</v>
      </c>
      <c r="AM35" s="215">
        <f>(Table13[[#This Row],[Invoice Date]]-Table13[[#This Row],[Month]])/7</f>
        <v>29.142857142857142</v>
      </c>
      <c r="AN35" s="229">
        <v>30</v>
      </c>
      <c r="AO35" s="219">
        <f t="shared" si="1"/>
        <v>45395</v>
      </c>
      <c r="AP35" s="178" t="s">
        <v>53</v>
      </c>
      <c r="AQ35" s="201" t="str">
        <f ca="1">IF(AND(AO35&lt;TODAY(),Table13[[#This Row],[Payment Status]]="Pending"),"Past Due", "OK")</f>
        <v>Past Due</v>
      </c>
    </row>
    <row r="36" spans="1:43" hidden="1">
      <c r="A36" s="173">
        <v>45161</v>
      </c>
      <c r="B36" s="174" t="s">
        <v>63</v>
      </c>
      <c r="C36" s="175" t="s">
        <v>512</v>
      </c>
      <c r="D36" s="174" t="s">
        <v>88</v>
      </c>
      <c r="E36" s="174" t="s">
        <v>89</v>
      </c>
      <c r="F36" s="174" t="s">
        <v>89</v>
      </c>
      <c r="G36" s="176" t="s">
        <v>323</v>
      </c>
      <c r="H36" s="178" t="s">
        <v>108</v>
      </c>
      <c r="I36" s="177" t="s">
        <v>109</v>
      </c>
      <c r="J36" s="177" t="s">
        <v>49</v>
      </c>
      <c r="K36" s="177"/>
      <c r="L36" s="178">
        <v>3323.05</v>
      </c>
      <c r="M36" s="179">
        <f>Table13[[#This Row],[Quoted Rev]]/Table13[[#This Row],[PO Amount]]</f>
        <v>0</v>
      </c>
      <c r="N36" s="178">
        <v>0</v>
      </c>
      <c r="O36" s="178">
        <v>3323.05</v>
      </c>
      <c r="P36" s="178">
        <f>V36+Y36+AB36</f>
        <v>3323.05</v>
      </c>
      <c r="Q36" s="181" t="s">
        <v>51</v>
      </c>
      <c r="R36" s="178">
        <f>(O36-P36)+N36</f>
        <v>0</v>
      </c>
      <c r="S36" s="179">
        <f>R36/L36</f>
        <v>0</v>
      </c>
      <c r="T36" s="182" t="s">
        <v>491</v>
      </c>
      <c r="U36" s="178">
        <v>3323.05</v>
      </c>
      <c r="V36" s="178">
        <v>3323.05</v>
      </c>
      <c r="W36" s="191">
        <f>V36/U36</f>
        <v>1</v>
      </c>
      <c r="X36" s="178">
        <v>0</v>
      </c>
      <c r="Y36" s="178">
        <v>0</v>
      </c>
      <c r="Z36" s="189" t="s">
        <v>89</v>
      </c>
      <c r="AA36" s="178">
        <v>0</v>
      </c>
      <c r="AB36" s="178">
        <v>0</v>
      </c>
      <c r="AC36" s="189" t="s">
        <v>89</v>
      </c>
      <c r="AD36" s="178">
        <v>0</v>
      </c>
      <c r="AE36" s="178">
        <v>0</v>
      </c>
      <c r="AF36" s="190" t="s">
        <v>499</v>
      </c>
      <c r="AG36" s="178" t="s">
        <v>52</v>
      </c>
      <c r="AH36" s="179">
        <v>1</v>
      </c>
      <c r="AI36" s="193">
        <v>1049</v>
      </c>
      <c r="AJ36" s="178" t="str">
        <f t="shared" si="9"/>
        <v>Invoiced</v>
      </c>
      <c r="AK36" s="178">
        <v>3323.05</v>
      </c>
      <c r="AL36" s="220">
        <v>45202</v>
      </c>
      <c r="AM36" s="215">
        <f>(Table13[[#This Row],[Invoice Date]]-Table13[[#This Row],[Month]])/7</f>
        <v>5.8571428571428568</v>
      </c>
      <c r="AN36" s="229">
        <v>30</v>
      </c>
      <c r="AO36" s="219">
        <f t="shared" si="1"/>
        <v>45232</v>
      </c>
      <c r="AP36" s="178" t="s">
        <v>94</v>
      </c>
      <c r="AQ36" s="201" t="str">
        <f ca="1">IF(AND(AO36&lt;TODAY(),Table13[[#This Row],[Payment Status]]="Pending"),"Past Due", "OK")</f>
        <v>OK</v>
      </c>
    </row>
    <row r="37" spans="1:43" hidden="1">
      <c r="A37" s="173">
        <v>45161</v>
      </c>
      <c r="B37" s="174" t="s">
        <v>57</v>
      </c>
      <c r="C37" s="175" t="s">
        <v>513</v>
      </c>
      <c r="D37" s="174" t="s">
        <v>6</v>
      </c>
      <c r="E37" s="174" t="s">
        <v>379</v>
      </c>
      <c r="F37" s="174">
        <v>1825</v>
      </c>
      <c r="G37" s="176" t="s">
        <v>301</v>
      </c>
      <c r="H37" s="178" t="s">
        <v>240</v>
      </c>
      <c r="I37" s="178" t="s">
        <v>497</v>
      </c>
      <c r="J37" s="178" t="s">
        <v>49</v>
      </c>
      <c r="K37" s="178"/>
      <c r="L37" s="178">
        <v>5418</v>
      </c>
      <c r="M37" s="179">
        <f>Table13[[#This Row],[Quoted Rev]]/Table13[[#This Row],[PO Amount]]</f>
        <v>0.1878922111480251</v>
      </c>
      <c r="N37" s="178">
        <f>L37-O37</f>
        <v>1018</v>
      </c>
      <c r="O37" s="178">
        <v>4400</v>
      </c>
      <c r="P37" s="178">
        <f>V37+Y37+AB37</f>
        <v>4400</v>
      </c>
      <c r="Q37" s="181" t="s">
        <v>51</v>
      </c>
      <c r="R37" s="178">
        <f>(O37-P37)+N37</f>
        <v>1018</v>
      </c>
      <c r="S37" s="179">
        <f>R37/L37</f>
        <v>0.1878922111480251</v>
      </c>
      <c r="T37" s="182" t="s">
        <v>498</v>
      </c>
      <c r="U37" s="178">
        <v>4400</v>
      </c>
      <c r="V37" s="178">
        <v>4400</v>
      </c>
      <c r="W37" s="191">
        <f>V37/U37</f>
        <v>1</v>
      </c>
      <c r="X37" s="178">
        <v>0</v>
      </c>
      <c r="Y37" s="178">
        <v>0</v>
      </c>
      <c r="Z37" s="189" t="s">
        <v>89</v>
      </c>
      <c r="AA37" s="178">
        <v>0</v>
      </c>
      <c r="AB37" s="178">
        <v>0</v>
      </c>
      <c r="AC37" s="189" t="s">
        <v>89</v>
      </c>
      <c r="AD37" s="178">
        <v>0</v>
      </c>
      <c r="AE37" s="178">
        <v>0</v>
      </c>
      <c r="AF37" s="190" t="s">
        <v>499</v>
      </c>
      <c r="AG37" s="178" t="s">
        <v>98</v>
      </c>
      <c r="AH37" s="179">
        <v>0.5</v>
      </c>
      <c r="AI37" s="193">
        <v>1035</v>
      </c>
      <c r="AJ37" s="178" t="str">
        <f t="shared" si="9"/>
        <v>Invoiced</v>
      </c>
      <c r="AK37" s="178">
        <v>2574</v>
      </c>
      <c r="AL37" s="220">
        <v>45163</v>
      </c>
      <c r="AM37" s="215">
        <f>(Table13[[#This Row],[Invoice Date]]-Table13[[#This Row],[Month]])/7</f>
        <v>0.2857142857142857</v>
      </c>
      <c r="AN37" s="229">
        <v>0</v>
      </c>
      <c r="AO37" s="219">
        <f t="shared" si="1"/>
        <v>45163</v>
      </c>
      <c r="AP37" s="178" t="s">
        <v>94</v>
      </c>
      <c r="AQ37" s="201" t="str">
        <f ca="1">IF(AND(AO37&lt;TODAY(),Table13[[#This Row],[Payment Status]]="Pending"),"Past Due", "OK")</f>
        <v>OK</v>
      </c>
    </row>
    <row r="38" spans="1:43">
      <c r="A38" s="173">
        <v>45161</v>
      </c>
      <c r="B38" s="174" t="s">
        <v>57</v>
      </c>
      <c r="C38" s="175" t="s">
        <v>513</v>
      </c>
      <c r="D38" s="174" t="s">
        <v>6</v>
      </c>
      <c r="E38" s="174" t="s">
        <v>379</v>
      </c>
      <c r="F38" s="174" t="s">
        <v>53</v>
      </c>
      <c r="G38" s="176" t="s">
        <v>301</v>
      </c>
      <c r="H38" s="177" t="s">
        <v>240</v>
      </c>
      <c r="I38" s="177" t="s">
        <v>497</v>
      </c>
      <c r="J38" s="177" t="s">
        <v>49</v>
      </c>
      <c r="K38" s="177" t="s">
        <v>97</v>
      </c>
      <c r="L38" s="185">
        <v>0</v>
      </c>
      <c r="M38" s="185" t="s">
        <v>492</v>
      </c>
      <c r="N38" s="186">
        <v>0</v>
      </c>
      <c r="O38" s="186">
        <v>0</v>
      </c>
      <c r="P38" s="186">
        <v>0</v>
      </c>
      <c r="Q38" s="186" t="s">
        <v>492</v>
      </c>
      <c r="R38" s="186" t="s">
        <v>492</v>
      </c>
      <c r="S38" s="186"/>
      <c r="T38" s="182" t="s">
        <v>498</v>
      </c>
      <c r="U38" s="186" t="s">
        <v>492</v>
      </c>
      <c r="V38" s="186" t="s">
        <v>492</v>
      </c>
      <c r="W38" s="186" t="s">
        <v>492</v>
      </c>
      <c r="X38" s="186" t="s">
        <v>492</v>
      </c>
      <c r="Y38" s="186" t="s">
        <v>492</v>
      </c>
      <c r="Z38" s="186" t="s">
        <v>492</v>
      </c>
      <c r="AA38" s="186" t="s">
        <v>492</v>
      </c>
      <c r="AB38" s="186" t="s">
        <v>492</v>
      </c>
      <c r="AC38" s="186" t="s">
        <v>492</v>
      </c>
      <c r="AD38" s="186" t="s">
        <v>492</v>
      </c>
      <c r="AE38" s="186" t="s">
        <v>492</v>
      </c>
      <c r="AF38" s="186" t="s">
        <v>492</v>
      </c>
      <c r="AG38" s="178" t="s">
        <v>52</v>
      </c>
      <c r="AH38" s="179">
        <v>0.5</v>
      </c>
      <c r="AI38" s="193">
        <v>1079</v>
      </c>
      <c r="AJ38" s="178" t="s">
        <v>93</v>
      </c>
      <c r="AK38" s="178">
        <f>L37-AK37</f>
        <v>2844</v>
      </c>
      <c r="AL38" s="220">
        <v>45365</v>
      </c>
      <c r="AM38" s="215">
        <f>(Table13[[#This Row],[Invoice Date]]-Table13[[#This Row],[Month]])/7</f>
        <v>29.142857142857142</v>
      </c>
      <c r="AN38" s="229">
        <v>30</v>
      </c>
      <c r="AO38" s="219">
        <f t="shared" si="1"/>
        <v>45395</v>
      </c>
      <c r="AP38" s="178" t="s">
        <v>53</v>
      </c>
      <c r="AQ38" s="201" t="str">
        <f ca="1">IF(AND(AO38&lt;TODAY(),Table13[[#This Row],[Payment Status]]="Pending"),"Past Due", "OK")</f>
        <v>Past Due</v>
      </c>
    </row>
    <row r="39" spans="1:43" hidden="1">
      <c r="A39" s="173">
        <v>45161</v>
      </c>
      <c r="B39" s="174" t="s">
        <v>191</v>
      </c>
      <c r="C39" s="175" t="s">
        <v>514</v>
      </c>
      <c r="D39" s="199" t="s">
        <v>515</v>
      </c>
      <c r="E39" s="174" t="s">
        <v>516</v>
      </c>
      <c r="F39" s="174">
        <v>1841</v>
      </c>
      <c r="G39" s="176" t="s">
        <v>316</v>
      </c>
      <c r="H39" s="178" t="s">
        <v>381</v>
      </c>
      <c r="I39" s="178" t="s">
        <v>179</v>
      </c>
      <c r="J39" s="178" t="s">
        <v>3</v>
      </c>
      <c r="K39" s="178"/>
      <c r="L39" s="178">
        <v>1656</v>
      </c>
      <c r="M39" s="179">
        <f>Table13[[#This Row],[Quoted Rev]]/Table13[[#This Row],[PO Amount]]</f>
        <v>0</v>
      </c>
      <c r="N39" s="178">
        <v>0</v>
      </c>
      <c r="O39" s="178">
        <v>1656</v>
      </c>
      <c r="P39" s="178">
        <f>V39+Y39+AB39</f>
        <v>1656</v>
      </c>
      <c r="Q39" s="181" t="s">
        <v>51</v>
      </c>
      <c r="R39" s="178">
        <f>(O39-P39)+N39</f>
        <v>0</v>
      </c>
      <c r="S39" s="179">
        <f>R39/L39</f>
        <v>0</v>
      </c>
      <c r="T39" s="182" t="s">
        <v>491</v>
      </c>
      <c r="U39" s="178">
        <v>1656</v>
      </c>
      <c r="V39" s="178">
        <v>1656</v>
      </c>
      <c r="W39" s="191">
        <f>V39/U39</f>
        <v>1</v>
      </c>
      <c r="X39" s="178">
        <v>0</v>
      </c>
      <c r="Y39" s="178">
        <v>0</v>
      </c>
      <c r="Z39" s="189" t="s">
        <v>89</v>
      </c>
      <c r="AA39" s="178">
        <v>0</v>
      </c>
      <c r="AB39" s="178">
        <v>0</v>
      </c>
      <c r="AC39" s="189" t="s">
        <v>89</v>
      </c>
      <c r="AD39" s="178">
        <v>0</v>
      </c>
      <c r="AE39" s="178">
        <v>0</v>
      </c>
      <c r="AF39" s="190" t="s">
        <v>499</v>
      </c>
      <c r="AG39" s="178" t="s">
        <v>52</v>
      </c>
      <c r="AH39" s="179">
        <v>1</v>
      </c>
      <c r="AI39" s="193">
        <v>1044</v>
      </c>
      <c r="AJ39" s="178" t="str">
        <f t="shared" ref="AJ39:AJ52" si="10">IF(AI39&gt;0,"Invoiced", "Pending")</f>
        <v>Invoiced</v>
      </c>
      <c r="AK39" s="178">
        <v>1656</v>
      </c>
      <c r="AL39" s="220">
        <v>45184</v>
      </c>
      <c r="AM39" s="215">
        <f>(Table13[[#This Row],[Invoice Date]]-Table13[[#This Row],[Month]])/7</f>
        <v>3.2857142857142856</v>
      </c>
      <c r="AN39" s="229">
        <v>30</v>
      </c>
      <c r="AO39" s="219">
        <f t="shared" si="1"/>
        <v>45214</v>
      </c>
      <c r="AP39" s="178" t="s">
        <v>53</v>
      </c>
      <c r="AQ39" s="201" t="str">
        <f ca="1">IF(AND(AO39&lt;TODAY(),Table13[[#This Row],[Payment Status]]="Pending"),"Past Due", "OK")</f>
        <v>Past Due</v>
      </c>
    </row>
    <row r="40" spans="1:43" hidden="1">
      <c r="A40" s="173">
        <v>45192</v>
      </c>
      <c r="B40" s="174" t="s">
        <v>63</v>
      </c>
      <c r="C40" s="175" t="s">
        <v>460</v>
      </c>
      <c r="D40" s="174" t="s">
        <v>428</v>
      </c>
      <c r="E40" s="174" t="s">
        <v>89</v>
      </c>
      <c r="F40" s="174" t="s">
        <v>89</v>
      </c>
      <c r="G40" s="176" t="s">
        <v>314</v>
      </c>
      <c r="H40" s="177" t="s">
        <v>112</v>
      </c>
      <c r="I40" s="177" t="s">
        <v>113</v>
      </c>
      <c r="J40" s="177" t="s">
        <v>3</v>
      </c>
      <c r="K40" s="177"/>
      <c r="L40" s="178">
        <v>22546.1</v>
      </c>
      <c r="M40" s="179">
        <f>Table13[[#This Row],[Quoted Rev]]/Table13[[#This Row],[PO Amount]]</f>
        <v>0.69404242862401933</v>
      </c>
      <c r="N40" s="178">
        <v>15647.95</v>
      </c>
      <c r="O40" s="178">
        <v>6898.15</v>
      </c>
      <c r="P40" s="178">
        <f>V40+Y40+AB40</f>
        <v>2652.92</v>
      </c>
      <c r="Q40" s="181" t="s">
        <v>51</v>
      </c>
      <c r="R40" s="178">
        <f>(O40-P40)+N40</f>
        <v>19893.18</v>
      </c>
      <c r="S40" s="179">
        <f t="shared" ref="S40:S41" si="11">R40/L40</f>
        <v>0.88233352996748893</v>
      </c>
      <c r="T40" s="182" t="s">
        <v>491</v>
      </c>
      <c r="U40" s="178">
        <v>3553.15</v>
      </c>
      <c r="V40" s="182">
        <v>2176.81</v>
      </c>
      <c r="W40" s="191">
        <f>V40/U40</f>
        <v>0.61264230330833203</v>
      </c>
      <c r="X40" s="178">
        <v>560</v>
      </c>
      <c r="Y40" s="182">
        <v>476.11</v>
      </c>
      <c r="Z40" s="191">
        <f>Y40/X40</f>
        <v>0.85019642857142863</v>
      </c>
      <c r="AA40" s="178">
        <v>2785</v>
      </c>
      <c r="AB40" s="178">
        <v>0</v>
      </c>
      <c r="AC40" s="191" t="s">
        <v>51</v>
      </c>
      <c r="AD40" s="178">
        <v>12982</v>
      </c>
      <c r="AE40" s="178">
        <v>0</v>
      </c>
      <c r="AF40" s="190"/>
      <c r="AG40" s="178" t="s">
        <v>52</v>
      </c>
      <c r="AH40" s="179">
        <v>1</v>
      </c>
      <c r="AI40" s="193">
        <v>1042</v>
      </c>
      <c r="AJ40" s="178" t="str">
        <f t="shared" si="10"/>
        <v>Invoiced</v>
      </c>
      <c r="AK40" s="178">
        <v>22546.095000000001</v>
      </c>
      <c r="AL40" s="220">
        <v>45181</v>
      </c>
      <c r="AM40" s="215">
        <f>(Table13[[#This Row],[Invoice Date]]-Table13[[#This Row],[Month]])/7</f>
        <v>-1.5714285714285714</v>
      </c>
      <c r="AN40" s="229">
        <v>30</v>
      </c>
      <c r="AO40" s="219">
        <f t="shared" si="1"/>
        <v>45211</v>
      </c>
      <c r="AP40" s="178" t="s">
        <v>94</v>
      </c>
      <c r="AQ40" s="201" t="str">
        <f ca="1">IF(AND(AO40&lt;TODAY(),Table13[[#This Row],[Payment Status]]="Pending"),"Past Due", "OK")</f>
        <v>OK</v>
      </c>
    </row>
    <row r="41" spans="1:43" ht="15" hidden="1" customHeight="1">
      <c r="A41" s="173">
        <v>45192</v>
      </c>
      <c r="B41" s="174" t="s">
        <v>489</v>
      </c>
      <c r="C41" s="175" t="s">
        <v>517</v>
      </c>
      <c r="D41" s="174" t="s">
        <v>6</v>
      </c>
      <c r="E41" s="174" t="s">
        <v>380</v>
      </c>
      <c r="F41" s="174">
        <v>1975</v>
      </c>
      <c r="G41" s="176" t="s">
        <v>330</v>
      </c>
      <c r="H41" s="177" t="s">
        <v>248</v>
      </c>
      <c r="I41" s="177" t="s">
        <v>518</v>
      </c>
      <c r="J41" s="177" t="s">
        <v>3</v>
      </c>
      <c r="K41" s="177"/>
      <c r="L41" s="178">
        <v>8600</v>
      </c>
      <c r="M41" s="179">
        <f>Table13[[#This Row],[Quoted Rev]]/Table13[[#This Row],[PO Amount]]</f>
        <v>5.6482558139534886E-2</v>
      </c>
      <c r="N41" s="178">
        <v>485.75</v>
      </c>
      <c r="O41" s="178">
        <v>9229.25</v>
      </c>
      <c r="P41" s="178">
        <f t="shared" ref="P41:P61" si="12">V41+Y41+AB41</f>
        <v>8114.25</v>
      </c>
      <c r="Q41" s="181" t="s">
        <v>51</v>
      </c>
      <c r="R41" s="178">
        <f>(O41-P41)+N41</f>
        <v>1600.75</v>
      </c>
      <c r="S41" s="179">
        <f t="shared" si="11"/>
        <v>0.18613372093023256</v>
      </c>
      <c r="T41" s="182" t="s">
        <v>491</v>
      </c>
      <c r="U41" s="178">
        <v>9229.25</v>
      </c>
      <c r="V41" s="178">
        <f>9229.25-1115</f>
        <v>8114.25</v>
      </c>
      <c r="W41" s="191">
        <f>V41/U41</f>
        <v>0.87918844976569055</v>
      </c>
      <c r="X41" s="178">
        <v>0</v>
      </c>
      <c r="Y41" s="178">
        <v>0</v>
      </c>
      <c r="Z41" s="189" t="s">
        <v>89</v>
      </c>
      <c r="AA41" s="178">
        <v>0</v>
      </c>
      <c r="AB41" s="178">
        <v>0</v>
      </c>
      <c r="AC41" s="189" t="s">
        <v>89</v>
      </c>
      <c r="AD41" s="178">
        <v>9229.25</v>
      </c>
      <c r="AE41" s="178">
        <v>9229.25</v>
      </c>
      <c r="AF41" s="190" t="s">
        <v>499</v>
      </c>
      <c r="AG41" s="178" t="s">
        <v>52</v>
      </c>
      <c r="AH41" s="179">
        <v>1</v>
      </c>
      <c r="AI41" s="193">
        <v>1061</v>
      </c>
      <c r="AJ41" s="178" t="str">
        <f t="shared" si="10"/>
        <v>Invoiced</v>
      </c>
      <c r="AK41" s="178">
        <f>L41*AH41</f>
        <v>8600</v>
      </c>
      <c r="AL41" s="220">
        <v>45283</v>
      </c>
      <c r="AM41" s="215">
        <f>(Table13[[#This Row],[Invoice Date]]-Table13[[#This Row],[Month]])/7</f>
        <v>13</v>
      </c>
      <c r="AN41" s="229">
        <v>30</v>
      </c>
      <c r="AO41" s="219">
        <f t="shared" si="1"/>
        <v>45313</v>
      </c>
      <c r="AP41" s="178" t="s">
        <v>94</v>
      </c>
      <c r="AQ41" s="201" t="str">
        <f ca="1">IF(AND(AO41&lt;TODAY(),Table13[[#This Row],[Payment Status]]="Pending"),"Past Due", "OK")</f>
        <v>OK</v>
      </c>
    </row>
    <row r="42" spans="1:43" hidden="1">
      <c r="A42" s="173">
        <v>45192</v>
      </c>
      <c r="B42" s="174" t="s">
        <v>63</v>
      </c>
      <c r="C42" s="175" t="s">
        <v>519</v>
      </c>
      <c r="D42" s="174" t="s">
        <v>88</v>
      </c>
      <c r="E42" s="174" t="s">
        <v>89</v>
      </c>
      <c r="F42" s="174" t="s">
        <v>89</v>
      </c>
      <c r="G42" s="176" t="s">
        <v>313</v>
      </c>
      <c r="H42" s="177" t="s">
        <v>108</v>
      </c>
      <c r="I42" s="177" t="s">
        <v>109</v>
      </c>
      <c r="J42" s="177" t="s">
        <v>49</v>
      </c>
      <c r="K42" s="177"/>
      <c r="L42" s="178">
        <v>2420</v>
      </c>
      <c r="M42" s="179">
        <f>Table13[[#This Row],[Quoted Rev]]/Table13[[#This Row],[PO Amount]]</f>
        <v>1</v>
      </c>
      <c r="N42" s="178">
        <v>2420</v>
      </c>
      <c r="O42" s="178">
        <v>0</v>
      </c>
      <c r="P42" s="178">
        <f t="shared" si="12"/>
        <v>0</v>
      </c>
      <c r="Q42" s="181" t="s">
        <v>51</v>
      </c>
      <c r="R42" s="178">
        <f>(O42-P42)+N42</f>
        <v>2420</v>
      </c>
      <c r="S42" s="179">
        <f>R42/L42</f>
        <v>1</v>
      </c>
      <c r="T42" s="182" t="s">
        <v>498</v>
      </c>
      <c r="U42" s="178">
        <v>0</v>
      </c>
      <c r="V42" s="178">
        <v>0</v>
      </c>
      <c r="W42" s="189" t="s">
        <v>89</v>
      </c>
      <c r="X42" s="178">
        <v>0</v>
      </c>
      <c r="Y42" s="178">
        <v>0</v>
      </c>
      <c r="Z42" s="189" t="s">
        <v>89</v>
      </c>
      <c r="AA42" s="178">
        <v>0</v>
      </c>
      <c r="AB42" s="178">
        <v>0</v>
      </c>
      <c r="AC42" s="189" t="s">
        <v>89</v>
      </c>
      <c r="AD42" s="178">
        <v>0</v>
      </c>
      <c r="AE42" s="178">
        <v>0</v>
      </c>
      <c r="AF42" s="189" t="s">
        <v>89</v>
      </c>
      <c r="AG42" s="178" t="s">
        <v>52</v>
      </c>
      <c r="AH42" s="179">
        <v>1</v>
      </c>
      <c r="AI42" s="193">
        <v>1056</v>
      </c>
      <c r="AJ42" s="178" t="str">
        <f t="shared" si="10"/>
        <v>Invoiced</v>
      </c>
      <c r="AK42" s="178">
        <v>2420</v>
      </c>
      <c r="AL42" s="220">
        <v>45266</v>
      </c>
      <c r="AM42" s="215">
        <f>(Table13[[#This Row],[Invoice Date]]-Table13[[#This Row],[Month]])/7</f>
        <v>10.571428571428571</v>
      </c>
      <c r="AN42" s="229">
        <v>30</v>
      </c>
      <c r="AO42" s="219">
        <v>45343</v>
      </c>
      <c r="AP42" s="178" t="s">
        <v>94</v>
      </c>
      <c r="AQ42" s="201" t="str">
        <f ca="1">IF(AND(AO42&lt;TODAY(),Table13[[#This Row],[Payment Status]]="Pending"),"Past Due", "OK")</f>
        <v>OK</v>
      </c>
    </row>
    <row r="43" spans="1:43" hidden="1">
      <c r="A43" s="173">
        <v>45192</v>
      </c>
      <c r="B43" s="174" t="s">
        <v>63</v>
      </c>
      <c r="C43" s="175" t="s">
        <v>520</v>
      </c>
      <c r="D43" s="199" t="s">
        <v>515</v>
      </c>
      <c r="E43" s="174" t="s">
        <v>382</v>
      </c>
      <c r="F43" s="174">
        <v>1852</v>
      </c>
      <c r="G43" s="176" t="s">
        <v>318</v>
      </c>
      <c r="H43" s="178" t="s">
        <v>381</v>
      </c>
      <c r="I43" s="178" t="s">
        <v>179</v>
      </c>
      <c r="J43" s="178" t="s">
        <v>3</v>
      </c>
      <c r="K43" s="178"/>
      <c r="L43" s="178">
        <v>55646.1</v>
      </c>
      <c r="M43" s="179">
        <f>Table13[[#This Row],[Quoted Rev]]/Table13[[#This Row],[PO Amount]]</f>
        <v>0</v>
      </c>
      <c r="N43" s="178">
        <v>0</v>
      </c>
      <c r="O43" s="178">
        <v>55646.1</v>
      </c>
      <c r="P43" s="178">
        <f t="shared" si="12"/>
        <v>55646.1</v>
      </c>
      <c r="Q43" s="181" t="s">
        <v>51</v>
      </c>
      <c r="R43" s="178">
        <f>(O43-P43)+N43</f>
        <v>0</v>
      </c>
      <c r="S43" s="179">
        <f>R43/L43</f>
        <v>0</v>
      </c>
      <c r="T43" s="182" t="s">
        <v>491</v>
      </c>
      <c r="U43" s="178">
        <v>55646.1</v>
      </c>
      <c r="V43" s="178">
        <v>55646.1</v>
      </c>
      <c r="W43" s="191">
        <f>V43/U43</f>
        <v>1</v>
      </c>
      <c r="X43" s="178">
        <v>0</v>
      </c>
      <c r="Y43" s="178">
        <v>0</v>
      </c>
      <c r="Z43" s="189" t="s">
        <v>89</v>
      </c>
      <c r="AA43" s="178">
        <v>0</v>
      </c>
      <c r="AB43" s="178">
        <v>0</v>
      </c>
      <c r="AC43" s="189" t="s">
        <v>89</v>
      </c>
      <c r="AD43" s="178">
        <v>0</v>
      </c>
      <c r="AE43" s="178">
        <v>0</v>
      </c>
      <c r="AF43" s="189" t="s">
        <v>89</v>
      </c>
      <c r="AG43" s="178" t="s">
        <v>98</v>
      </c>
      <c r="AH43" s="179">
        <v>0.3</v>
      </c>
      <c r="AI43" s="193">
        <v>1045</v>
      </c>
      <c r="AJ43" s="178" t="str">
        <f t="shared" si="10"/>
        <v>Invoiced</v>
      </c>
      <c r="AK43" s="178">
        <f>L43*AH43</f>
        <v>16693.829999999998</v>
      </c>
      <c r="AL43" s="220">
        <v>45194</v>
      </c>
      <c r="AM43" s="215">
        <f>(Table13[[#This Row],[Invoice Date]]-Table13[[#This Row],[Month]])/7</f>
        <v>0.2857142857142857</v>
      </c>
      <c r="AN43" s="229">
        <v>0</v>
      </c>
      <c r="AO43" s="219">
        <f t="shared" si="1"/>
        <v>45194</v>
      </c>
      <c r="AP43" s="178" t="s">
        <v>94</v>
      </c>
      <c r="AQ43" s="201" t="str">
        <f ca="1">IF(AND(AO43&lt;TODAY(),Table13[[#This Row],[Payment Status]]="Pending"),"Past Due", "OK")</f>
        <v>OK</v>
      </c>
    </row>
    <row r="44" spans="1:43" hidden="1">
      <c r="A44" s="173">
        <v>45192</v>
      </c>
      <c r="B44" s="174" t="s">
        <v>63</v>
      </c>
      <c r="C44" s="175" t="s">
        <v>520</v>
      </c>
      <c r="D44" s="199" t="s">
        <v>515</v>
      </c>
      <c r="E44" s="174" t="s">
        <v>382</v>
      </c>
      <c r="F44" s="174">
        <v>1936</v>
      </c>
      <c r="G44" s="176" t="s">
        <v>318</v>
      </c>
      <c r="H44" s="178" t="s">
        <v>381</v>
      </c>
      <c r="I44" s="178" t="s">
        <v>179</v>
      </c>
      <c r="J44" s="178" t="s">
        <v>3</v>
      </c>
      <c r="K44" s="178"/>
      <c r="L44" s="185">
        <v>0</v>
      </c>
      <c r="M44" s="185" t="s">
        <v>492</v>
      </c>
      <c r="N44" s="186">
        <v>0</v>
      </c>
      <c r="O44" s="186">
        <v>0</v>
      </c>
      <c r="P44" s="186">
        <v>0</v>
      </c>
      <c r="Q44" s="186" t="s">
        <v>492</v>
      </c>
      <c r="R44" s="186" t="s">
        <v>492</v>
      </c>
      <c r="S44" s="186" t="s">
        <v>492</v>
      </c>
      <c r="T44" s="182" t="s">
        <v>491</v>
      </c>
      <c r="U44" s="186" t="s">
        <v>492</v>
      </c>
      <c r="V44" s="186" t="s">
        <v>492</v>
      </c>
      <c r="W44" s="186" t="s">
        <v>492</v>
      </c>
      <c r="X44" s="186" t="s">
        <v>492</v>
      </c>
      <c r="Y44" s="186" t="s">
        <v>492</v>
      </c>
      <c r="Z44" s="186" t="s">
        <v>492</v>
      </c>
      <c r="AA44" s="186" t="s">
        <v>492</v>
      </c>
      <c r="AB44" s="186" t="s">
        <v>492</v>
      </c>
      <c r="AC44" s="186" t="s">
        <v>492</v>
      </c>
      <c r="AD44" s="186" t="s">
        <v>492</v>
      </c>
      <c r="AE44" s="186" t="s">
        <v>492</v>
      </c>
      <c r="AF44" s="186" t="s">
        <v>492</v>
      </c>
      <c r="AG44" s="178" t="s">
        <v>52</v>
      </c>
      <c r="AH44" s="179">
        <v>0.7</v>
      </c>
      <c r="AI44" s="193">
        <v>1054</v>
      </c>
      <c r="AJ44" s="178" t="str">
        <f t="shared" si="10"/>
        <v>Invoiced</v>
      </c>
      <c r="AK44" s="178">
        <f>L43*AH44</f>
        <v>38952.269999999997</v>
      </c>
      <c r="AL44" s="220">
        <v>45264</v>
      </c>
      <c r="AM44" s="215">
        <f>(Table13[[#This Row],[Invoice Date]]-Table13[[#This Row],[Month]])/7</f>
        <v>10.285714285714286</v>
      </c>
      <c r="AN44" s="229">
        <v>30</v>
      </c>
      <c r="AO44" s="219">
        <f t="shared" si="1"/>
        <v>45294</v>
      </c>
      <c r="AP44" s="178" t="s">
        <v>53</v>
      </c>
      <c r="AQ44" s="201" t="str">
        <f ca="1">IF(AND(AO44&lt;TODAY(),Table13[[#This Row],[Payment Status]]="Pending"),"Past Due", "OK")</f>
        <v>Past Due</v>
      </c>
    </row>
    <row r="45" spans="1:43" hidden="1">
      <c r="A45" s="173">
        <v>45192</v>
      </c>
      <c r="B45" s="174" t="s">
        <v>63</v>
      </c>
      <c r="C45" s="175" t="s">
        <v>521</v>
      </c>
      <c r="D45" s="174" t="s">
        <v>88</v>
      </c>
      <c r="E45" s="174" t="s">
        <v>89</v>
      </c>
      <c r="F45" s="174" t="s">
        <v>89</v>
      </c>
      <c r="G45" s="176" t="s">
        <v>299</v>
      </c>
      <c r="H45" s="177" t="s">
        <v>415</v>
      </c>
      <c r="I45" s="177" t="s">
        <v>490</v>
      </c>
      <c r="J45" s="177" t="s">
        <v>49</v>
      </c>
      <c r="K45" s="177"/>
      <c r="L45" s="178">
        <v>17632.7</v>
      </c>
      <c r="M45" s="179">
        <f>Table13[[#This Row],[Quoted Rev]]/Table13[[#This Row],[PO Amount]]</f>
        <v>0.19214300702671741</v>
      </c>
      <c r="N45" s="178">
        <v>3388</v>
      </c>
      <c r="O45" s="178">
        <v>14244.7</v>
      </c>
      <c r="P45" s="178">
        <f t="shared" si="12"/>
        <v>12290.04</v>
      </c>
      <c r="Q45" s="182" t="s">
        <v>51</v>
      </c>
      <c r="R45" s="178">
        <f>(O45-P45)+N45</f>
        <v>5342.66</v>
      </c>
      <c r="S45" s="179">
        <f t="shared" ref="S45" si="13">R45/L45</f>
        <v>0.30299727211374322</v>
      </c>
      <c r="T45" s="182" t="s">
        <v>491</v>
      </c>
      <c r="U45" s="178">
        <v>11129.7</v>
      </c>
      <c r="V45" s="178">
        <v>10172.26</v>
      </c>
      <c r="W45" s="191">
        <f>V45/U45</f>
        <v>0.91397432096103215</v>
      </c>
      <c r="X45" s="178">
        <v>1200</v>
      </c>
      <c r="Y45" s="178">
        <v>656.32</v>
      </c>
      <c r="Z45" s="191">
        <f>Y45/X45</f>
        <v>0.54693333333333338</v>
      </c>
      <c r="AA45" s="178">
        <v>1915</v>
      </c>
      <c r="AB45" s="178">
        <v>1461.46</v>
      </c>
      <c r="AC45" s="191">
        <f>AB45/AA45</f>
        <v>0.76316449086161886</v>
      </c>
      <c r="AD45" s="178">
        <v>0</v>
      </c>
      <c r="AE45" s="178">
        <v>0</v>
      </c>
      <c r="AF45" s="189" t="s">
        <v>89</v>
      </c>
      <c r="AG45" s="178" t="s">
        <v>52</v>
      </c>
      <c r="AH45" s="179">
        <f>M45/L45</f>
        <v>1.0896970232960205E-5</v>
      </c>
      <c r="AI45" s="193">
        <v>1046</v>
      </c>
      <c r="AJ45" s="178" t="str">
        <f t="shared" si="10"/>
        <v>Invoiced</v>
      </c>
      <c r="AK45" s="178">
        <f>M45</f>
        <v>0.19214300702671741</v>
      </c>
      <c r="AL45" s="220">
        <v>45194</v>
      </c>
      <c r="AM45" s="215">
        <f>(Table13[[#This Row],[Invoice Date]]-Table13[[#This Row],[Month]])/7</f>
        <v>0.2857142857142857</v>
      </c>
      <c r="AN45" s="229">
        <v>30</v>
      </c>
      <c r="AO45" s="219">
        <f t="shared" si="1"/>
        <v>45224</v>
      </c>
      <c r="AP45" s="178" t="s">
        <v>94</v>
      </c>
      <c r="AQ45" s="201" t="str">
        <f ca="1">IF(AND(AO45&lt;TODAY(),Table13[[#This Row],[Payment Status]]="Pending"),"Past Due", "OK")</f>
        <v>OK</v>
      </c>
    </row>
    <row r="46" spans="1:43" hidden="1">
      <c r="A46" s="173">
        <v>45192</v>
      </c>
      <c r="B46" s="174" t="s">
        <v>63</v>
      </c>
      <c r="C46" s="175" t="s">
        <v>521</v>
      </c>
      <c r="D46" s="174" t="s">
        <v>88</v>
      </c>
      <c r="E46" s="174" t="s">
        <v>89</v>
      </c>
      <c r="F46" s="174" t="s">
        <v>89</v>
      </c>
      <c r="G46" s="176" t="s">
        <v>299</v>
      </c>
      <c r="H46" s="177" t="s">
        <v>415</v>
      </c>
      <c r="I46" s="177" t="s">
        <v>490</v>
      </c>
      <c r="J46" s="177" t="s">
        <v>49</v>
      </c>
      <c r="K46" s="177"/>
      <c r="L46" s="185">
        <v>0</v>
      </c>
      <c r="M46" s="185" t="s">
        <v>492</v>
      </c>
      <c r="N46" s="186">
        <v>0</v>
      </c>
      <c r="O46" s="186">
        <v>0</v>
      </c>
      <c r="P46" s="186">
        <v>0</v>
      </c>
      <c r="Q46" s="186" t="s">
        <v>492</v>
      </c>
      <c r="R46" s="186" t="s">
        <v>492</v>
      </c>
      <c r="S46" s="186" t="s">
        <v>492</v>
      </c>
      <c r="T46" s="182" t="s">
        <v>491</v>
      </c>
      <c r="U46" s="186" t="s">
        <v>492</v>
      </c>
      <c r="V46" s="186" t="s">
        <v>492</v>
      </c>
      <c r="W46" s="186" t="s">
        <v>492</v>
      </c>
      <c r="X46" s="186" t="s">
        <v>492</v>
      </c>
      <c r="Y46" s="186" t="s">
        <v>492</v>
      </c>
      <c r="Z46" s="186" t="s">
        <v>492</v>
      </c>
      <c r="AA46" s="186" t="s">
        <v>492</v>
      </c>
      <c r="AB46" s="186" t="s">
        <v>492</v>
      </c>
      <c r="AC46" s="186" t="s">
        <v>492</v>
      </c>
      <c r="AD46" s="186" t="s">
        <v>492</v>
      </c>
      <c r="AE46" s="186" t="s">
        <v>492</v>
      </c>
      <c r="AF46" s="186" t="s">
        <v>492</v>
      </c>
      <c r="AG46" s="178" t="s">
        <v>52</v>
      </c>
      <c r="AH46" s="179">
        <v>0.3</v>
      </c>
      <c r="AI46" s="193">
        <v>1051</v>
      </c>
      <c r="AJ46" s="178" t="str">
        <f t="shared" si="10"/>
        <v>Invoiced</v>
      </c>
      <c r="AK46" s="178">
        <f>L45-AK45</f>
        <v>17632.507856992976</v>
      </c>
      <c r="AL46" s="220">
        <v>45230</v>
      </c>
      <c r="AM46" s="215">
        <f>(Table13[[#This Row],[Invoice Date]]-Table13[[#This Row],[Month]])/7</f>
        <v>5.4285714285714288</v>
      </c>
      <c r="AN46" s="229">
        <v>30</v>
      </c>
      <c r="AO46" s="219">
        <f t="shared" si="1"/>
        <v>45260</v>
      </c>
      <c r="AP46" s="178" t="s">
        <v>53</v>
      </c>
      <c r="AQ46" s="201" t="str">
        <f ca="1">IF(AND(AO46&lt;TODAY(),Table13[[#This Row],[Payment Status]]="Pending"),"Past Due", "OK")</f>
        <v>Past Due</v>
      </c>
    </row>
    <row r="47" spans="1:43">
      <c r="A47" s="173">
        <v>45222</v>
      </c>
      <c r="B47" s="174" t="s">
        <v>63</v>
      </c>
      <c r="C47" s="175" t="s">
        <v>522</v>
      </c>
      <c r="D47" s="174" t="s">
        <v>88</v>
      </c>
      <c r="E47" s="174" t="s">
        <v>89</v>
      </c>
      <c r="F47" s="174" t="s">
        <v>89</v>
      </c>
      <c r="G47" s="176" t="s">
        <v>337</v>
      </c>
      <c r="H47" s="177" t="s">
        <v>444</v>
      </c>
      <c r="I47" s="177" t="s">
        <v>138</v>
      </c>
      <c r="J47" s="177" t="s">
        <v>3</v>
      </c>
      <c r="K47" s="177" t="s">
        <v>92</v>
      </c>
      <c r="L47" s="178">
        <v>36197.14</v>
      </c>
      <c r="M47" s="179">
        <f>Table13[[#This Row],[Quoted Rev]]/Table13[[#This Row],[PO Amount]]</f>
        <v>0.38676425817067311</v>
      </c>
      <c r="N47" s="178">
        <f>L47-O47</f>
        <v>13999.759999999998</v>
      </c>
      <c r="O47" s="182">
        <v>22197.38</v>
      </c>
      <c r="P47" s="178">
        <f t="shared" si="12"/>
        <v>17194.040000000005</v>
      </c>
      <c r="Q47" s="182" t="s">
        <v>51</v>
      </c>
      <c r="R47" s="178">
        <f t="shared" ref="R47:R61" si="14">(O47-P47)+N47</f>
        <v>19003.099999999995</v>
      </c>
      <c r="S47" s="179">
        <f t="shared" ref="S47:S61" si="15">R47/L47</f>
        <v>0.52498899084292283</v>
      </c>
      <c r="T47" s="182" t="s">
        <v>498</v>
      </c>
      <c r="U47" s="182">
        <v>21507.38</v>
      </c>
      <c r="V47" s="178">
        <v>17194.040000000005</v>
      </c>
      <c r="W47" s="191">
        <f t="shared" ref="W47:W56" si="16">V47/U47</f>
        <v>0.79944837539486469</v>
      </c>
      <c r="X47" s="178">
        <v>690</v>
      </c>
      <c r="Y47" s="178">
        <v>0</v>
      </c>
      <c r="Z47" s="191">
        <f>Y47/X47</f>
        <v>0</v>
      </c>
      <c r="AA47" s="178">
        <v>0</v>
      </c>
      <c r="AB47" s="178">
        <v>0</v>
      </c>
      <c r="AC47" s="189" t="s">
        <v>89</v>
      </c>
      <c r="AD47" s="178">
        <v>0</v>
      </c>
      <c r="AE47" s="178">
        <v>0</v>
      </c>
      <c r="AF47" s="189" t="s">
        <v>89</v>
      </c>
      <c r="AG47" s="178" t="s">
        <v>52</v>
      </c>
      <c r="AH47" s="179">
        <v>1</v>
      </c>
      <c r="AI47" s="193">
        <v>1064</v>
      </c>
      <c r="AJ47" s="178" t="str">
        <f t="shared" si="10"/>
        <v>Invoiced</v>
      </c>
      <c r="AK47" s="178">
        <f>L47*AH47</f>
        <v>36197.14</v>
      </c>
      <c r="AL47" s="220">
        <v>45316</v>
      </c>
      <c r="AM47" s="215">
        <f>(Table13[[#This Row],[Invoice Date]]-Table13[[#This Row],[Month]])/7</f>
        <v>13.428571428571429</v>
      </c>
      <c r="AN47" s="229">
        <v>30</v>
      </c>
      <c r="AO47" s="219">
        <f t="shared" si="1"/>
        <v>45346</v>
      </c>
      <c r="AP47" s="178" t="s">
        <v>94</v>
      </c>
      <c r="AQ47" s="201" t="str">
        <f ca="1">IF(AND(AO47&lt;TODAY(),Table13[[#This Row],[Payment Status]]="Pending"),"Past Due", "OK")</f>
        <v>OK</v>
      </c>
    </row>
    <row r="48" spans="1:43">
      <c r="A48" s="173">
        <v>45222</v>
      </c>
      <c r="B48" s="174" t="s">
        <v>63</v>
      </c>
      <c r="C48" s="175" t="s">
        <v>523</v>
      </c>
      <c r="D48" s="174" t="s">
        <v>88</v>
      </c>
      <c r="E48" s="174" t="s">
        <v>89</v>
      </c>
      <c r="F48" s="174" t="s">
        <v>89</v>
      </c>
      <c r="G48" s="176" t="s">
        <v>344</v>
      </c>
      <c r="H48" s="177" t="s">
        <v>477</v>
      </c>
      <c r="I48" s="177" t="s">
        <v>179</v>
      </c>
      <c r="J48" s="177" t="s">
        <v>3</v>
      </c>
      <c r="K48" s="177" t="s">
        <v>92</v>
      </c>
      <c r="L48" s="178">
        <v>121520.72</v>
      </c>
      <c r="M48" s="179">
        <f>Table13[[#This Row],[Quoted Rev]]/Table13[[#This Row],[PO Amount]]</f>
        <v>0.3773976158139945</v>
      </c>
      <c r="N48" s="178">
        <v>45861.63</v>
      </c>
      <c r="O48" s="178">
        <v>75659.09</v>
      </c>
      <c r="P48" s="178">
        <f t="shared" si="12"/>
        <v>0</v>
      </c>
      <c r="Q48" s="182" t="s">
        <v>51</v>
      </c>
      <c r="R48" s="178">
        <f t="shared" si="14"/>
        <v>121520.72</v>
      </c>
      <c r="S48" s="179">
        <f t="shared" si="15"/>
        <v>1</v>
      </c>
      <c r="T48" s="182" t="s">
        <v>498</v>
      </c>
      <c r="U48" s="178">
        <v>72454.09</v>
      </c>
      <c r="V48" s="178">
        <v>0</v>
      </c>
      <c r="W48" s="191">
        <f t="shared" si="16"/>
        <v>0</v>
      </c>
      <c r="X48" s="178">
        <v>1600</v>
      </c>
      <c r="Y48" s="178">
        <v>0</v>
      </c>
      <c r="Z48" s="191">
        <f>Y48/X48</f>
        <v>0</v>
      </c>
      <c r="AA48" s="178">
        <v>1605</v>
      </c>
      <c r="AB48" s="178">
        <v>0</v>
      </c>
      <c r="AC48" s="191">
        <f>AB48/AA48</f>
        <v>0</v>
      </c>
      <c r="AD48" s="178">
        <v>0</v>
      </c>
      <c r="AE48" s="178">
        <v>0</v>
      </c>
      <c r="AF48" s="189" t="s">
        <v>89</v>
      </c>
      <c r="AG48" s="178" t="s">
        <v>52</v>
      </c>
      <c r="AH48" s="179">
        <v>1</v>
      </c>
      <c r="AI48" s="193">
        <v>1083</v>
      </c>
      <c r="AJ48" s="178" t="s">
        <v>93</v>
      </c>
      <c r="AK48" s="178">
        <f>L48*AH48</f>
        <v>121520.72</v>
      </c>
      <c r="AL48" s="220">
        <v>45399</v>
      </c>
      <c r="AM48" s="215">
        <f>(Table13[[#This Row],[Invoice Date]]-Table13[[#This Row],[Month]])/7</f>
        <v>25.285714285714285</v>
      </c>
      <c r="AN48" s="229">
        <v>90</v>
      </c>
      <c r="AO48" s="219">
        <f t="shared" si="1"/>
        <v>45489</v>
      </c>
      <c r="AP48" s="178" t="s">
        <v>53</v>
      </c>
      <c r="AQ48" s="201" t="str">
        <f ca="1">IF(AND(AO48&lt;TODAY(),Table13[[#This Row],[Payment Status]]="Pending"),"Past Due", "OK")</f>
        <v>Past Due</v>
      </c>
    </row>
    <row r="49" spans="1:43" hidden="1">
      <c r="A49" s="173">
        <v>45238</v>
      </c>
      <c r="B49" s="174" t="s">
        <v>191</v>
      </c>
      <c r="C49" s="175" t="s">
        <v>524</v>
      </c>
      <c r="D49" s="174" t="s">
        <v>6</v>
      </c>
      <c r="E49" s="174" t="s">
        <v>525</v>
      </c>
      <c r="F49" s="174" t="s">
        <v>89</v>
      </c>
      <c r="G49" s="176" t="s">
        <v>326</v>
      </c>
      <c r="H49" s="178" t="s">
        <v>381</v>
      </c>
      <c r="I49" s="178" t="s">
        <v>179</v>
      </c>
      <c r="J49" s="178" t="s">
        <v>3</v>
      </c>
      <c r="K49" s="178"/>
      <c r="L49" s="178">
        <f>3*555.62</f>
        <v>1666.8600000000001</v>
      </c>
      <c r="M49" s="179">
        <f>Table13[[#This Row],[Quoted Rev]]/Table13[[#This Row],[PO Amount]]</f>
        <v>0.13043087001907797</v>
      </c>
      <c r="N49" s="178">
        <f>L49-O49</f>
        <v>217.41000000000031</v>
      </c>
      <c r="O49" s="178">
        <f>483.15*3</f>
        <v>1449.4499999999998</v>
      </c>
      <c r="P49" s="178">
        <f t="shared" si="12"/>
        <v>1449.45</v>
      </c>
      <c r="Q49" s="182" t="s">
        <v>51</v>
      </c>
      <c r="R49" s="178">
        <f t="shared" si="14"/>
        <v>217.41000000000008</v>
      </c>
      <c r="S49" s="179">
        <f t="shared" si="15"/>
        <v>0.13043087001907783</v>
      </c>
      <c r="T49" s="182" t="s">
        <v>491</v>
      </c>
      <c r="U49" s="178">
        <v>1449.45</v>
      </c>
      <c r="V49" s="178">
        <v>1449.45</v>
      </c>
      <c r="W49" s="191">
        <f t="shared" si="16"/>
        <v>1</v>
      </c>
      <c r="X49" s="178">
        <v>0</v>
      </c>
      <c r="Y49" s="178">
        <v>0</v>
      </c>
      <c r="Z49" s="189" t="s">
        <v>89</v>
      </c>
      <c r="AA49" s="178">
        <v>0</v>
      </c>
      <c r="AB49" s="178">
        <v>0</v>
      </c>
      <c r="AC49" s="189" t="s">
        <v>89</v>
      </c>
      <c r="AD49" s="178">
        <v>0</v>
      </c>
      <c r="AE49" s="178">
        <v>0</v>
      </c>
      <c r="AF49" s="189" t="s">
        <v>89</v>
      </c>
      <c r="AG49" s="178" t="s">
        <v>52</v>
      </c>
      <c r="AH49" s="179">
        <v>1</v>
      </c>
      <c r="AI49" s="193">
        <v>1052</v>
      </c>
      <c r="AJ49" s="178" t="str">
        <f t="shared" si="10"/>
        <v>Invoiced</v>
      </c>
      <c r="AK49" s="178">
        <f>L49*AH49</f>
        <v>1666.8600000000001</v>
      </c>
      <c r="AL49" s="220">
        <v>45246</v>
      </c>
      <c r="AM49" s="215">
        <f>(Table13[[#This Row],[Invoice Date]]-Table13[[#This Row],[Month]])/7</f>
        <v>1.1428571428571428</v>
      </c>
      <c r="AN49" s="229">
        <v>30</v>
      </c>
      <c r="AO49" s="219">
        <f t="shared" si="1"/>
        <v>45276</v>
      </c>
      <c r="AP49" s="178" t="s">
        <v>53</v>
      </c>
      <c r="AQ49" s="201" t="str">
        <f ca="1">IF(AND(AO49&lt;TODAY(),Table13[[#This Row],[Payment Status]]="Pending"),"Past Due", "OK")</f>
        <v>Past Due</v>
      </c>
    </row>
    <row r="50" spans="1:43">
      <c r="A50" s="173">
        <v>45238</v>
      </c>
      <c r="B50" s="174" t="s">
        <v>63</v>
      </c>
      <c r="C50" s="175" t="s">
        <v>526</v>
      </c>
      <c r="D50" s="174" t="s">
        <v>88</v>
      </c>
      <c r="E50" s="174" t="s">
        <v>89</v>
      </c>
      <c r="F50" s="174" t="s">
        <v>89</v>
      </c>
      <c r="G50" s="176" t="s">
        <v>334</v>
      </c>
      <c r="H50" s="177" t="s">
        <v>108</v>
      </c>
      <c r="I50" s="177" t="s">
        <v>109</v>
      </c>
      <c r="J50" s="177" t="s">
        <v>49</v>
      </c>
      <c r="K50" s="177" t="s">
        <v>68</v>
      </c>
      <c r="L50" s="178">
        <v>48821.75</v>
      </c>
      <c r="M50" s="179">
        <f>Table13[[#This Row],[Quoted Rev]]/Table13[[#This Row],[PO Amount]]</f>
        <v>0.45326621843747922</v>
      </c>
      <c r="N50" s="178">
        <v>22129.25</v>
      </c>
      <c r="O50" s="178">
        <v>26692.5</v>
      </c>
      <c r="P50" s="178">
        <f t="shared" si="12"/>
        <v>0</v>
      </c>
      <c r="Q50" s="182" t="s">
        <v>51</v>
      </c>
      <c r="R50" s="178">
        <f t="shared" si="14"/>
        <v>48821.75</v>
      </c>
      <c r="S50" s="179">
        <f t="shared" si="15"/>
        <v>1</v>
      </c>
      <c r="T50" s="182" t="s">
        <v>498</v>
      </c>
      <c r="U50" s="178">
        <v>26042.5</v>
      </c>
      <c r="V50" s="178">
        <v>0</v>
      </c>
      <c r="W50" s="191">
        <f t="shared" si="16"/>
        <v>0</v>
      </c>
      <c r="X50" s="178">
        <v>650</v>
      </c>
      <c r="Y50" s="178">
        <v>0</v>
      </c>
      <c r="Z50" s="191">
        <f>Y50/X50</f>
        <v>0</v>
      </c>
      <c r="AA50" s="178">
        <v>0</v>
      </c>
      <c r="AB50" s="178">
        <v>0</v>
      </c>
      <c r="AC50" s="189" t="s">
        <v>89</v>
      </c>
      <c r="AD50" s="178">
        <v>14316.5</v>
      </c>
      <c r="AE50" s="178">
        <v>0</v>
      </c>
      <c r="AF50" s="189" t="s">
        <v>89</v>
      </c>
      <c r="AG50" s="178" t="s">
        <v>52</v>
      </c>
      <c r="AH50" s="179">
        <v>1</v>
      </c>
      <c r="AI50" s="193">
        <v>1065</v>
      </c>
      <c r="AJ50" s="178" t="s">
        <v>93</v>
      </c>
      <c r="AK50" s="178">
        <f>L50*AH50</f>
        <v>48821.75</v>
      </c>
      <c r="AL50" s="220">
        <v>45330</v>
      </c>
      <c r="AM50" s="215">
        <f>(Table13[[#This Row],[Invoice Date]]-Table13[[#This Row],[Month]])/7</f>
        <v>13.142857142857142</v>
      </c>
      <c r="AN50" s="229">
        <v>60</v>
      </c>
      <c r="AO50" s="219">
        <v>45413</v>
      </c>
      <c r="AP50" s="178" t="s">
        <v>94</v>
      </c>
      <c r="AQ50" s="201" t="str">
        <f ca="1">IF(AND(AO50&lt;TODAY(),Table13[[#This Row],[Payment Status]]="Pending"),"Past Due", "OK")</f>
        <v>OK</v>
      </c>
    </row>
    <row r="51" spans="1:43">
      <c r="A51" s="173">
        <v>45238</v>
      </c>
      <c r="B51" s="174" t="s">
        <v>44</v>
      </c>
      <c r="C51" s="175" t="s">
        <v>527</v>
      </c>
      <c r="D51" s="174" t="s">
        <v>6</v>
      </c>
      <c r="E51" s="174" t="s">
        <v>383</v>
      </c>
      <c r="F51" s="174" t="s">
        <v>53</v>
      </c>
      <c r="G51" s="176" t="s">
        <v>349</v>
      </c>
      <c r="H51" s="178" t="s">
        <v>108</v>
      </c>
      <c r="I51" s="177" t="s">
        <v>109</v>
      </c>
      <c r="J51" s="177" t="s">
        <v>49</v>
      </c>
      <c r="K51" s="177" t="s">
        <v>101</v>
      </c>
      <c r="L51" s="178">
        <v>38964.870000000003</v>
      </c>
      <c r="M51" s="179">
        <f>Table13[[#This Row],[Quoted Rev]]/Table13[[#This Row],[PO Amount]]</f>
        <v>0.13043492766689596</v>
      </c>
      <c r="N51" s="178">
        <f>L51-O51</f>
        <v>5082.3800000000047</v>
      </c>
      <c r="O51" s="178">
        <v>33882.49</v>
      </c>
      <c r="P51" s="178">
        <f t="shared" si="12"/>
        <v>33882.49</v>
      </c>
      <c r="Q51" s="182" t="s">
        <v>51</v>
      </c>
      <c r="R51" s="178">
        <f t="shared" si="14"/>
        <v>5082.3800000000047</v>
      </c>
      <c r="S51" s="179">
        <f t="shared" si="15"/>
        <v>0.13043492766689596</v>
      </c>
      <c r="T51" s="182" t="s">
        <v>498</v>
      </c>
      <c r="U51" s="178">
        <v>33882.49</v>
      </c>
      <c r="V51" s="178">
        <v>33882.49</v>
      </c>
      <c r="W51" s="191">
        <f t="shared" si="16"/>
        <v>1</v>
      </c>
      <c r="X51" s="178">
        <v>0</v>
      </c>
      <c r="Y51" s="178">
        <v>0</v>
      </c>
      <c r="Z51" s="189" t="s">
        <v>89</v>
      </c>
      <c r="AA51" s="178">
        <v>0</v>
      </c>
      <c r="AB51" s="178">
        <v>0</v>
      </c>
      <c r="AC51" s="189" t="s">
        <v>89</v>
      </c>
      <c r="AD51" s="178">
        <v>0</v>
      </c>
      <c r="AE51" s="178">
        <v>0</v>
      </c>
      <c r="AF51" s="189" t="s">
        <v>89</v>
      </c>
      <c r="AG51" s="178" t="s">
        <v>52</v>
      </c>
      <c r="AH51" s="179">
        <v>1</v>
      </c>
      <c r="AI51" s="193">
        <v>1091</v>
      </c>
      <c r="AJ51" s="178" t="str">
        <f t="shared" si="10"/>
        <v>Invoiced</v>
      </c>
      <c r="AK51" s="178">
        <f>L51*AH51</f>
        <v>38964.870000000003</v>
      </c>
      <c r="AL51" s="220">
        <v>45473</v>
      </c>
      <c r="AM51" s="215">
        <f>(Table13[[#This Row],[Invoice Date]]-Table13[[#This Row],[Month]])/7</f>
        <v>33.571428571428569</v>
      </c>
      <c r="AN51" s="229">
        <v>30</v>
      </c>
      <c r="AO51" s="219">
        <f t="shared" si="1"/>
        <v>45503</v>
      </c>
      <c r="AP51" s="178" t="s">
        <v>53</v>
      </c>
      <c r="AQ51" s="201" t="str">
        <f ca="1">IF(AND(AO51&lt;TODAY(),Table13[[#This Row],[Payment Status]]="Pending"),"Past Due", "OK")</f>
        <v>Past Due</v>
      </c>
    </row>
    <row r="52" spans="1:43" hidden="1">
      <c r="A52" s="173">
        <v>45238</v>
      </c>
      <c r="B52" s="174" t="s">
        <v>191</v>
      </c>
      <c r="C52" s="175" t="s">
        <v>528</v>
      </c>
      <c r="D52" s="174" t="s">
        <v>88</v>
      </c>
      <c r="E52" s="174" t="s">
        <v>89</v>
      </c>
      <c r="F52" s="174" t="s">
        <v>89</v>
      </c>
      <c r="G52" s="176" t="s">
        <v>327</v>
      </c>
      <c r="H52" s="177" t="s">
        <v>485</v>
      </c>
      <c r="I52" s="177" t="s">
        <v>505</v>
      </c>
      <c r="J52" s="177" t="s">
        <v>49</v>
      </c>
      <c r="K52" s="177"/>
      <c r="L52" s="178">
        <v>115.11</v>
      </c>
      <c r="M52" s="179">
        <f>Table13[[#This Row],[Quoted Rev]]/Table13[[#This Row],[PO Amount]]</f>
        <v>0.14056120232820779</v>
      </c>
      <c r="N52" s="178">
        <v>16.18</v>
      </c>
      <c r="O52" s="178">
        <v>98.93</v>
      </c>
      <c r="P52" s="178">
        <f t="shared" si="12"/>
        <v>73.97999999999999</v>
      </c>
      <c r="Q52" s="182" t="s">
        <v>51</v>
      </c>
      <c r="R52" s="178">
        <f t="shared" si="14"/>
        <v>41.130000000000017</v>
      </c>
      <c r="S52" s="179">
        <f t="shared" si="15"/>
        <v>0.35731039874902282</v>
      </c>
      <c r="T52" s="182" t="s">
        <v>491</v>
      </c>
      <c r="U52" s="178">
        <v>50.4</v>
      </c>
      <c r="V52" s="178">
        <v>50.4</v>
      </c>
      <c r="W52" s="191">
        <f t="shared" si="16"/>
        <v>1</v>
      </c>
      <c r="X52" s="178">
        <v>45</v>
      </c>
      <c r="Y52" s="178">
        <v>23.58</v>
      </c>
      <c r="Z52" s="191">
        <f>Y52/X52</f>
        <v>0.52399999999999991</v>
      </c>
      <c r="AA52" s="178">
        <v>0</v>
      </c>
      <c r="AB52" s="178">
        <v>0</v>
      </c>
      <c r="AC52" s="189" t="s">
        <v>89</v>
      </c>
      <c r="AD52" s="178">
        <v>0</v>
      </c>
      <c r="AE52" s="178">
        <v>0</v>
      </c>
      <c r="AF52" s="189" t="s">
        <v>89</v>
      </c>
      <c r="AG52" s="178" t="s">
        <v>52</v>
      </c>
      <c r="AH52" s="179">
        <v>1</v>
      </c>
      <c r="AI52" s="193">
        <v>1053</v>
      </c>
      <c r="AJ52" s="178" t="str">
        <f t="shared" si="10"/>
        <v>Invoiced</v>
      </c>
      <c r="AK52" s="178">
        <v>115.11</v>
      </c>
      <c r="AL52" s="220">
        <v>45252</v>
      </c>
      <c r="AM52" s="215">
        <f>(Table13[[#This Row],[Invoice Date]]-Table13[[#This Row],[Month]])/7</f>
        <v>2</v>
      </c>
      <c r="AN52" s="229">
        <v>30</v>
      </c>
      <c r="AO52" s="219">
        <f t="shared" si="1"/>
        <v>45282</v>
      </c>
      <c r="AP52" s="178" t="s">
        <v>53</v>
      </c>
      <c r="AQ52" s="201" t="str">
        <f ca="1">IF(AND(AO52&lt;TODAY(),Table13[[#This Row],[Payment Status]]="Pending"),"Past Due", "OK")</f>
        <v>Past Due</v>
      </c>
    </row>
    <row r="53" spans="1:43">
      <c r="A53" s="173">
        <v>45238</v>
      </c>
      <c r="B53" s="174" t="s">
        <v>44</v>
      </c>
      <c r="C53" s="175" t="s">
        <v>529</v>
      </c>
      <c r="D53" s="174" t="s">
        <v>88</v>
      </c>
      <c r="E53" s="174" t="s">
        <v>89</v>
      </c>
      <c r="F53" s="174" t="s">
        <v>89</v>
      </c>
      <c r="G53" s="176" t="s">
        <v>339</v>
      </c>
      <c r="H53" s="178" t="s">
        <v>75</v>
      </c>
      <c r="I53" s="178" t="s">
        <v>76</v>
      </c>
      <c r="J53" s="178" t="s">
        <v>49</v>
      </c>
      <c r="K53" s="178" t="s">
        <v>101</v>
      </c>
      <c r="L53" s="178">
        <v>27908.32</v>
      </c>
      <c r="M53" s="179">
        <f>Table13[[#This Row],[Quoted Rev]]/Table13[[#This Row],[PO Amount]]</f>
        <v>0.55480659530921239</v>
      </c>
      <c r="N53" s="178">
        <f>L53-O53</f>
        <v>15483.72</v>
      </c>
      <c r="O53" s="178">
        <v>12424.6</v>
      </c>
      <c r="P53" s="178">
        <f t="shared" si="12"/>
        <v>4900.6499999999987</v>
      </c>
      <c r="Q53" s="182" t="s">
        <v>51</v>
      </c>
      <c r="R53" s="178">
        <f t="shared" si="14"/>
        <v>23007.670000000002</v>
      </c>
      <c r="S53" s="179">
        <f t="shared" si="15"/>
        <v>0.82440182712538779</v>
      </c>
      <c r="T53" s="182" t="s">
        <v>498</v>
      </c>
      <c r="U53" s="178">
        <v>12165</v>
      </c>
      <c r="V53" s="178">
        <v>4900.6499999999987</v>
      </c>
      <c r="W53" s="191">
        <f t="shared" si="16"/>
        <v>0.40284833538840925</v>
      </c>
      <c r="X53" s="178">
        <v>259.60000000000002</v>
      </c>
      <c r="Y53" s="178">
        <v>0</v>
      </c>
      <c r="Z53" s="191">
        <f>Y53/X53</f>
        <v>0</v>
      </c>
      <c r="AA53" s="178">
        <v>0</v>
      </c>
      <c r="AB53" s="178">
        <v>0</v>
      </c>
      <c r="AC53" s="189" t="s">
        <v>89</v>
      </c>
      <c r="AD53" s="178">
        <v>0</v>
      </c>
      <c r="AE53" s="178">
        <v>0</v>
      </c>
      <c r="AF53" s="189" t="s">
        <v>89</v>
      </c>
      <c r="AG53" s="178" t="s">
        <v>52</v>
      </c>
      <c r="AH53" s="179">
        <v>1</v>
      </c>
      <c r="AI53" s="193">
        <v>1067</v>
      </c>
      <c r="AJ53" s="178" t="s">
        <v>93</v>
      </c>
      <c r="AK53" s="178">
        <f t="shared" ref="AK53:AK63" si="17">L53*AH53</f>
        <v>27908.32</v>
      </c>
      <c r="AL53" s="220">
        <v>45337</v>
      </c>
      <c r="AM53" s="215">
        <f>(Table13[[#This Row],[Invoice Date]]-Table13[[#This Row],[Month]])/7</f>
        <v>14.142857142857142</v>
      </c>
      <c r="AN53" s="229">
        <v>60</v>
      </c>
      <c r="AO53" s="219">
        <f t="shared" si="1"/>
        <v>45397</v>
      </c>
      <c r="AP53" s="178" t="s">
        <v>53</v>
      </c>
      <c r="AQ53" s="201" t="str">
        <f ca="1">IF(AND(AO53&lt;TODAY(),Table13[[#This Row],[Payment Status]]="Pending"),"Past Due", "OK")</f>
        <v>Past Due</v>
      </c>
    </row>
    <row r="54" spans="1:43">
      <c r="A54" s="173">
        <v>45238</v>
      </c>
      <c r="B54" s="174" t="s">
        <v>44</v>
      </c>
      <c r="C54" s="175" t="s">
        <v>530</v>
      </c>
      <c r="D54" s="174" t="s">
        <v>6</v>
      </c>
      <c r="E54" s="174" t="s">
        <v>384</v>
      </c>
      <c r="F54" s="174" t="s">
        <v>53</v>
      </c>
      <c r="G54" s="176" t="s">
        <v>346</v>
      </c>
      <c r="H54" s="177" t="s">
        <v>108</v>
      </c>
      <c r="I54" s="177" t="s">
        <v>109</v>
      </c>
      <c r="J54" s="177" t="s">
        <v>49</v>
      </c>
      <c r="K54" s="177" t="s">
        <v>101</v>
      </c>
      <c r="L54" s="178">
        <v>14569.68</v>
      </c>
      <c r="M54" s="179">
        <f>Table13[[#This Row],[Quoted Rev]]/Table13[[#This Row],[PO Amount]]</f>
        <v>0.13043526007434614</v>
      </c>
      <c r="N54" s="178">
        <f>L54-O54</f>
        <v>1900.3999999999996</v>
      </c>
      <c r="O54" s="178">
        <v>12669.28</v>
      </c>
      <c r="P54" s="178">
        <f t="shared" si="12"/>
        <v>12669.28</v>
      </c>
      <c r="Q54" s="182" t="s">
        <v>51</v>
      </c>
      <c r="R54" s="178">
        <f t="shared" si="14"/>
        <v>1900.3999999999996</v>
      </c>
      <c r="S54" s="179">
        <f t="shared" si="15"/>
        <v>0.13043526007434614</v>
      </c>
      <c r="T54" s="182" t="s">
        <v>498</v>
      </c>
      <c r="U54" s="178">
        <v>12669.28</v>
      </c>
      <c r="V54" s="178">
        <v>12669.28</v>
      </c>
      <c r="W54" s="191">
        <f t="shared" si="16"/>
        <v>1</v>
      </c>
      <c r="X54" s="178">
        <v>0</v>
      </c>
      <c r="Y54" s="178">
        <v>0</v>
      </c>
      <c r="Z54" s="189" t="s">
        <v>89</v>
      </c>
      <c r="AA54" s="178">
        <v>0</v>
      </c>
      <c r="AB54" s="178">
        <v>0</v>
      </c>
      <c r="AC54" s="189" t="s">
        <v>89</v>
      </c>
      <c r="AD54" s="178">
        <v>0</v>
      </c>
      <c r="AE54" s="178">
        <v>0</v>
      </c>
      <c r="AF54" s="189" t="s">
        <v>89</v>
      </c>
      <c r="AG54" s="178" t="s">
        <v>52</v>
      </c>
      <c r="AH54" s="179">
        <v>1</v>
      </c>
      <c r="AI54" s="193">
        <v>1074</v>
      </c>
      <c r="AJ54" s="178" t="s">
        <v>93</v>
      </c>
      <c r="AK54" s="178">
        <f t="shared" si="17"/>
        <v>14569.68</v>
      </c>
      <c r="AL54" s="220">
        <v>45358</v>
      </c>
      <c r="AM54" s="215">
        <f>(Table13[[#This Row],[Invoice Date]]-Table13[[#This Row],[Month]])/7</f>
        <v>17.142857142857142</v>
      </c>
      <c r="AN54" s="229">
        <v>30</v>
      </c>
      <c r="AO54" s="219">
        <f t="shared" si="1"/>
        <v>45388</v>
      </c>
      <c r="AP54" s="178" t="s">
        <v>53</v>
      </c>
      <c r="AQ54" s="201" t="str">
        <f ca="1">IF(AND(AO54&lt;TODAY(),Table13[[#This Row],[Payment Status]]="Pending"),"Past Due", "OK")</f>
        <v>Past Due</v>
      </c>
    </row>
    <row r="55" spans="1:43">
      <c r="A55" s="173">
        <v>45283</v>
      </c>
      <c r="B55" s="174" t="s">
        <v>63</v>
      </c>
      <c r="C55" s="175" t="s">
        <v>531</v>
      </c>
      <c r="D55" s="174" t="s">
        <v>88</v>
      </c>
      <c r="E55" s="174" t="s">
        <v>89</v>
      </c>
      <c r="F55" s="174" t="s">
        <v>89</v>
      </c>
      <c r="G55" s="176" t="s">
        <v>347</v>
      </c>
      <c r="H55" s="177" t="s">
        <v>108</v>
      </c>
      <c r="I55" s="177" t="s">
        <v>109</v>
      </c>
      <c r="J55" s="177" t="s">
        <v>49</v>
      </c>
      <c r="K55" s="177" t="s">
        <v>68</v>
      </c>
      <c r="L55" s="178">
        <v>24342.159999999996</v>
      </c>
      <c r="M55" s="179">
        <f>Table13[[#This Row],[Quoted Rev]]/Table13[[#This Row],[PO Amount]]</f>
        <v>0.41550380081307492</v>
      </c>
      <c r="N55" s="178">
        <v>10114.259999999998</v>
      </c>
      <c r="O55" s="178">
        <v>14227.9</v>
      </c>
      <c r="P55" s="178">
        <f t="shared" si="12"/>
        <v>0</v>
      </c>
      <c r="Q55" s="182" t="s">
        <v>51</v>
      </c>
      <c r="R55" s="178">
        <f t="shared" si="14"/>
        <v>24342.159999999996</v>
      </c>
      <c r="S55" s="179">
        <f t="shared" si="15"/>
        <v>1</v>
      </c>
      <c r="T55" s="182" t="s">
        <v>498</v>
      </c>
      <c r="U55" s="178">
        <v>13677.9</v>
      </c>
      <c r="V55" s="178">
        <v>0</v>
      </c>
      <c r="W55" s="191">
        <f t="shared" si="16"/>
        <v>0</v>
      </c>
      <c r="X55" s="178">
        <v>550</v>
      </c>
      <c r="Y55" s="178">
        <v>0</v>
      </c>
      <c r="Z55" s="191">
        <f>Y55/X55</f>
        <v>0</v>
      </c>
      <c r="AA55" s="178">
        <v>0</v>
      </c>
      <c r="AB55" s="178">
        <v>0</v>
      </c>
      <c r="AC55" s="189" t="s">
        <v>89</v>
      </c>
      <c r="AD55" s="178">
        <v>0</v>
      </c>
      <c r="AE55" s="178">
        <v>0</v>
      </c>
      <c r="AF55" s="189" t="s">
        <v>89</v>
      </c>
      <c r="AG55" s="178" t="s">
        <v>52</v>
      </c>
      <c r="AH55" s="179">
        <v>1</v>
      </c>
      <c r="AI55" s="193">
        <v>1066</v>
      </c>
      <c r="AJ55" s="178" t="s">
        <v>93</v>
      </c>
      <c r="AK55" s="178">
        <f t="shared" si="17"/>
        <v>24342.159999999996</v>
      </c>
      <c r="AL55" s="220">
        <v>45331</v>
      </c>
      <c r="AM55" s="215">
        <f>(Table13[[#This Row],[Invoice Date]]-Table13[[#This Row],[Month]])/7</f>
        <v>6.8571428571428568</v>
      </c>
      <c r="AN55" s="229">
        <v>60</v>
      </c>
      <c r="AO55" s="219">
        <f t="shared" si="1"/>
        <v>45391</v>
      </c>
      <c r="AP55" s="178" t="s">
        <v>53</v>
      </c>
      <c r="AQ55" s="201" t="str">
        <f ca="1">IF(AND(AO55&lt;TODAY(),Table13[[#This Row],[Payment Status]]="Pending"),"Past Due", "OK")</f>
        <v>Past Due</v>
      </c>
    </row>
    <row r="56" spans="1:43">
      <c r="A56" s="173">
        <v>45283</v>
      </c>
      <c r="B56" s="174" t="s">
        <v>44</v>
      </c>
      <c r="C56" s="175" t="s">
        <v>532</v>
      </c>
      <c r="D56" s="174" t="s">
        <v>6</v>
      </c>
      <c r="E56" s="174" t="s">
        <v>385</v>
      </c>
      <c r="F56" s="174" t="s">
        <v>53</v>
      </c>
      <c r="G56" s="176" t="s">
        <v>348</v>
      </c>
      <c r="H56" s="177" t="s">
        <v>108</v>
      </c>
      <c r="I56" s="177" t="s">
        <v>109</v>
      </c>
      <c r="J56" s="177" t="s">
        <v>49</v>
      </c>
      <c r="K56" s="177" t="s">
        <v>101</v>
      </c>
      <c r="L56" s="178">
        <v>41637.89</v>
      </c>
      <c r="M56" s="179">
        <f>Table13[[#This Row],[Quoted Rev]]/Table13[[#This Row],[PO Amount]]</f>
        <v>0.13043480349268416</v>
      </c>
      <c r="N56" s="178">
        <f>Table13[[#This Row],[PO Amount]]-Table13[[#This Row],[Quoted Cost]]</f>
        <v>5431.0299999999988</v>
      </c>
      <c r="O56" s="178">
        <v>36206.86</v>
      </c>
      <c r="P56" s="178">
        <f t="shared" si="12"/>
        <v>36206.86</v>
      </c>
      <c r="Q56" s="182" t="s">
        <v>51</v>
      </c>
      <c r="R56" s="178">
        <f t="shared" si="14"/>
        <v>5431.0299999999988</v>
      </c>
      <c r="S56" s="179">
        <f t="shared" si="15"/>
        <v>0.13043480349268416</v>
      </c>
      <c r="T56" s="182" t="s">
        <v>498</v>
      </c>
      <c r="U56" s="178">
        <v>36206.86</v>
      </c>
      <c r="V56" s="178">
        <v>36206.86</v>
      </c>
      <c r="W56" s="191">
        <f t="shared" si="16"/>
        <v>1</v>
      </c>
      <c r="X56" s="178">
        <v>0</v>
      </c>
      <c r="Y56" s="178">
        <v>0</v>
      </c>
      <c r="Z56" s="189" t="s">
        <v>89</v>
      </c>
      <c r="AA56" s="178">
        <v>0</v>
      </c>
      <c r="AB56" s="178">
        <v>0</v>
      </c>
      <c r="AC56" s="189" t="s">
        <v>89</v>
      </c>
      <c r="AD56" s="178">
        <v>0</v>
      </c>
      <c r="AE56" s="178">
        <v>0</v>
      </c>
      <c r="AF56" s="189" t="s">
        <v>89</v>
      </c>
      <c r="AG56" s="178" t="s">
        <v>52</v>
      </c>
      <c r="AH56" s="179">
        <v>1</v>
      </c>
      <c r="AI56" s="193">
        <v>1081</v>
      </c>
      <c r="AJ56" s="178" t="s">
        <v>93</v>
      </c>
      <c r="AK56" s="178">
        <f t="shared" si="17"/>
        <v>41637.89</v>
      </c>
      <c r="AL56" s="220">
        <v>45398</v>
      </c>
      <c r="AM56" s="215">
        <f>(Table13[[#This Row],[Invoice Date]]-Table13[[#This Row],[Month]])/7</f>
        <v>16.428571428571427</v>
      </c>
      <c r="AN56" s="229">
        <v>30</v>
      </c>
      <c r="AO56" s="219">
        <f t="shared" si="1"/>
        <v>45428</v>
      </c>
      <c r="AP56" s="178" t="s">
        <v>53</v>
      </c>
      <c r="AQ56" s="201" t="str">
        <f ca="1">IF(AND(AO56&lt;TODAY(),Table13[[#This Row],[Payment Status]]="Pending"),"Past Due", "OK")</f>
        <v>Past Due</v>
      </c>
    </row>
    <row r="57" spans="1:43">
      <c r="A57" s="173">
        <v>45283</v>
      </c>
      <c r="B57" s="174" t="s">
        <v>63</v>
      </c>
      <c r="C57" s="175" t="s">
        <v>533</v>
      </c>
      <c r="D57" s="174" t="s">
        <v>88</v>
      </c>
      <c r="E57" s="174" t="s">
        <v>89</v>
      </c>
      <c r="F57" s="174" t="s">
        <v>89</v>
      </c>
      <c r="G57" s="176" t="s">
        <v>534</v>
      </c>
      <c r="H57" s="177" t="s">
        <v>141</v>
      </c>
      <c r="I57" s="177" t="s">
        <v>142</v>
      </c>
      <c r="J57" s="177" t="s">
        <v>49</v>
      </c>
      <c r="K57" s="177" t="s">
        <v>92</v>
      </c>
      <c r="L57" s="178">
        <v>34794.11</v>
      </c>
      <c r="M57" s="179">
        <f>Table13[[#This Row],[Quoted Rev]]/Table13[[#This Row],[PO Amount]]</f>
        <v>0.1427284675480994</v>
      </c>
      <c r="N57" s="178">
        <f>Table13[[#This Row],[PO Amount]]-Table13[[#This Row],[Quoted Cost]]</f>
        <v>4966.1100000000006</v>
      </c>
      <c r="O57" s="178">
        <f>26578+2000+1250</f>
        <v>29828</v>
      </c>
      <c r="P57" s="178">
        <f>26578+2000+1250</f>
        <v>29828</v>
      </c>
      <c r="Q57" s="182" t="s">
        <v>51</v>
      </c>
      <c r="R57" s="178">
        <f t="shared" si="14"/>
        <v>4966.1100000000006</v>
      </c>
      <c r="S57" s="179">
        <f t="shared" si="15"/>
        <v>0.1427284675480994</v>
      </c>
      <c r="T57" s="182" t="s">
        <v>498</v>
      </c>
      <c r="U57" s="178">
        <v>30894.11</v>
      </c>
      <c r="V57" s="178">
        <v>0</v>
      </c>
      <c r="W57" s="191">
        <f>V57/U57</f>
        <v>0</v>
      </c>
      <c r="X57" s="178">
        <v>650</v>
      </c>
      <c r="Y57" s="178">
        <v>0</v>
      </c>
      <c r="Z57" s="191">
        <f>Y57/X57</f>
        <v>0</v>
      </c>
      <c r="AA57" s="178">
        <v>0</v>
      </c>
      <c r="AB57" s="178">
        <v>0</v>
      </c>
      <c r="AC57" s="189" t="s">
        <v>89</v>
      </c>
      <c r="AD57" s="178">
        <v>0</v>
      </c>
      <c r="AE57" s="178">
        <v>0</v>
      </c>
      <c r="AF57" s="189" t="s">
        <v>89</v>
      </c>
      <c r="AG57" s="178" t="s">
        <v>52</v>
      </c>
      <c r="AH57" s="179">
        <v>1</v>
      </c>
      <c r="AI57" s="193">
        <v>1068</v>
      </c>
      <c r="AJ57" s="178" t="s">
        <v>93</v>
      </c>
      <c r="AK57" s="178">
        <f t="shared" si="17"/>
        <v>34794.11</v>
      </c>
      <c r="AL57" s="220">
        <v>45344</v>
      </c>
      <c r="AM57" s="215">
        <f>(Table13[[#This Row],[Invoice Date]]-Table13[[#This Row],[Month]])/7</f>
        <v>8.7142857142857135</v>
      </c>
      <c r="AN57" s="229">
        <v>30</v>
      </c>
      <c r="AO57" s="219">
        <f t="shared" si="1"/>
        <v>45374</v>
      </c>
      <c r="AP57" s="178" t="s">
        <v>94</v>
      </c>
      <c r="AQ57" s="201" t="str">
        <f ca="1">IF(AND(AO57&lt;TODAY(),Table13[[#This Row],[Payment Status]]="Pending"),"Past Due", "OK")</f>
        <v>OK</v>
      </c>
    </row>
    <row r="58" spans="1:43" ht="28.5" customHeight="1">
      <c r="A58" s="173">
        <v>45283</v>
      </c>
      <c r="B58" s="174" t="s">
        <v>63</v>
      </c>
      <c r="C58" s="175" t="s">
        <v>535</v>
      </c>
      <c r="D58" s="174" t="s">
        <v>88</v>
      </c>
      <c r="E58" s="174" t="s">
        <v>89</v>
      </c>
      <c r="F58" s="174" t="s">
        <v>89</v>
      </c>
      <c r="G58" s="176" t="s">
        <v>536</v>
      </c>
      <c r="H58" s="177" t="s">
        <v>108</v>
      </c>
      <c r="I58" s="177" t="s">
        <v>109</v>
      </c>
      <c r="J58" s="177" t="s">
        <v>49</v>
      </c>
      <c r="K58" s="177" t="s">
        <v>68</v>
      </c>
      <c r="L58" s="178">
        <v>24879.05</v>
      </c>
      <c r="M58" s="179">
        <f>Table13[[#This Row],[Quoted Rev]]/Table13[[#This Row],[PO Amount]]</f>
        <v>0.47263661594795625</v>
      </c>
      <c r="N58" s="178">
        <v>11758.75</v>
      </c>
      <c r="O58" s="178">
        <v>13120.3</v>
      </c>
      <c r="P58" s="178">
        <f t="shared" ref="P58" si="18">V58+Y58+AB58</f>
        <v>0</v>
      </c>
      <c r="Q58" s="182" t="s">
        <v>51</v>
      </c>
      <c r="R58" s="178">
        <f t="shared" si="14"/>
        <v>24879.05</v>
      </c>
      <c r="S58" s="179">
        <f t="shared" si="15"/>
        <v>1</v>
      </c>
      <c r="T58" s="182" t="s">
        <v>498</v>
      </c>
      <c r="U58" s="178">
        <v>13120.3</v>
      </c>
      <c r="V58" s="178">
        <v>0</v>
      </c>
      <c r="W58" s="191">
        <f>V58/U58</f>
        <v>0</v>
      </c>
      <c r="X58" s="178">
        <v>600</v>
      </c>
      <c r="Y58" s="178">
        <v>0</v>
      </c>
      <c r="Z58" s="191">
        <f>Y58/X58</f>
        <v>0</v>
      </c>
      <c r="AA58" s="178">
        <v>0</v>
      </c>
      <c r="AB58" s="178">
        <v>0</v>
      </c>
      <c r="AC58" s="189" t="s">
        <v>89</v>
      </c>
      <c r="AD58" s="178">
        <v>0</v>
      </c>
      <c r="AE58" s="178">
        <v>0</v>
      </c>
      <c r="AF58" s="189" t="s">
        <v>89</v>
      </c>
      <c r="AG58" s="178" t="s">
        <v>52</v>
      </c>
      <c r="AH58" s="179">
        <v>1</v>
      </c>
      <c r="AI58" s="193">
        <v>1075</v>
      </c>
      <c r="AJ58" s="178" t="s">
        <v>93</v>
      </c>
      <c r="AK58" s="178">
        <f t="shared" si="17"/>
        <v>24879.05</v>
      </c>
      <c r="AL58" s="220">
        <v>45363</v>
      </c>
      <c r="AM58" s="215">
        <f>(Table13[[#This Row],[Invoice Date]]-Table13[[#This Row],[Month]])/7</f>
        <v>11.428571428571429</v>
      </c>
      <c r="AN58" s="229">
        <v>30</v>
      </c>
      <c r="AO58" s="219">
        <v>45398</v>
      </c>
      <c r="AP58" s="178" t="s">
        <v>94</v>
      </c>
      <c r="AQ58" s="201" t="str">
        <f ca="1">IF(AND(AO58&lt;TODAY(),Table13[[#This Row],[Payment Status]]="Pending"),"Past Due", "OK")</f>
        <v>OK</v>
      </c>
    </row>
    <row r="59" spans="1:43" ht="13.9" customHeight="1">
      <c r="A59" s="173">
        <v>45283</v>
      </c>
      <c r="B59" s="174" t="s">
        <v>63</v>
      </c>
      <c r="C59" s="175" t="s">
        <v>537</v>
      </c>
      <c r="D59" s="174" t="s">
        <v>88</v>
      </c>
      <c r="E59" s="174" t="s">
        <v>89</v>
      </c>
      <c r="F59" s="174" t="s">
        <v>89</v>
      </c>
      <c r="G59" s="176" t="s">
        <v>538</v>
      </c>
      <c r="H59" s="177" t="s">
        <v>108</v>
      </c>
      <c r="I59" s="177" t="s">
        <v>109</v>
      </c>
      <c r="J59" s="177" t="s">
        <v>49</v>
      </c>
      <c r="K59" s="177" t="s">
        <v>68</v>
      </c>
      <c r="L59" s="178">
        <v>28614.91</v>
      </c>
      <c r="M59" s="179">
        <f>Table13[[#This Row],[Quoted Rev]]/Table13[[#This Row],[PO Amount]]</f>
        <v>0.51190288559355945</v>
      </c>
      <c r="N59" s="178">
        <v>14648.055</v>
      </c>
      <c r="O59" s="178">
        <v>13966.85</v>
      </c>
      <c r="P59" s="178">
        <f t="shared" si="12"/>
        <v>0</v>
      </c>
      <c r="Q59" s="182" t="s">
        <v>51</v>
      </c>
      <c r="R59" s="178">
        <f t="shared" si="14"/>
        <v>28614.904999999999</v>
      </c>
      <c r="S59" s="179">
        <f t="shared" si="15"/>
        <v>0.99999982526591902</v>
      </c>
      <c r="T59" s="182" t="s">
        <v>498</v>
      </c>
      <c r="U59" s="178">
        <v>13966.85</v>
      </c>
      <c r="V59" s="178">
        <v>0</v>
      </c>
      <c r="W59" s="191">
        <f>V59/U59</f>
        <v>0</v>
      </c>
      <c r="X59" s="178">
        <v>550</v>
      </c>
      <c r="Y59" s="178">
        <v>0</v>
      </c>
      <c r="Z59" s="191">
        <f>Y59/X59</f>
        <v>0</v>
      </c>
      <c r="AA59" s="178">
        <v>0</v>
      </c>
      <c r="AB59" s="178">
        <v>0</v>
      </c>
      <c r="AC59" s="189" t="s">
        <v>89</v>
      </c>
      <c r="AD59" s="178">
        <v>0</v>
      </c>
      <c r="AE59" s="178">
        <v>0</v>
      </c>
      <c r="AF59" s="189" t="s">
        <v>89</v>
      </c>
      <c r="AG59" s="178" t="s">
        <v>52</v>
      </c>
      <c r="AH59" s="179">
        <v>1</v>
      </c>
      <c r="AI59" s="193">
        <v>1069</v>
      </c>
      <c r="AJ59" s="178" t="s">
        <v>93</v>
      </c>
      <c r="AK59" s="178">
        <f t="shared" si="17"/>
        <v>28614.91</v>
      </c>
      <c r="AL59" s="220">
        <v>45351</v>
      </c>
      <c r="AM59" s="215">
        <f>(Table13[[#This Row],[Invoice Date]]-Table13[[#This Row],[Month]])/7</f>
        <v>9.7142857142857135</v>
      </c>
      <c r="AN59" s="229">
        <v>60</v>
      </c>
      <c r="AO59" s="219">
        <f t="shared" si="1"/>
        <v>45411</v>
      </c>
      <c r="AP59" s="178" t="s">
        <v>53</v>
      </c>
      <c r="AQ59" s="201" t="str">
        <f ca="1">IF(AND(AO59&lt;TODAY(),Table13[[#This Row],[Payment Status]]="Pending"),"Past Due", "OK")</f>
        <v>Past Due</v>
      </c>
    </row>
    <row r="60" spans="1:43">
      <c r="A60" s="173">
        <v>45283</v>
      </c>
      <c r="B60" s="174" t="s">
        <v>44</v>
      </c>
      <c r="C60" s="175" t="s">
        <v>539</v>
      </c>
      <c r="D60" s="174" t="s">
        <v>6</v>
      </c>
      <c r="E60" s="174" t="s">
        <v>540</v>
      </c>
      <c r="F60" s="174" t="s">
        <v>53</v>
      </c>
      <c r="G60" s="176" t="s">
        <v>541</v>
      </c>
      <c r="H60" s="177" t="s">
        <v>108</v>
      </c>
      <c r="I60" s="177" t="s">
        <v>109</v>
      </c>
      <c r="J60" s="177" t="s">
        <v>49</v>
      </c>
      <c r="K60" s="177"/>
      <c r="L60" s="178">
        <v>49550</v>
      </c>
      <c r="M60" s="179">
        <f>Table13[[#This Row],[Quoted Rev]]/Table13[[#This Row],[PO Amount]]</f>
        <v>0.14648506559031282</v>
      </c>
      <c r="N60" s="178">
        <v>7258.335</v>
      </c>
      <c r="O60" s="178">
        <v>42291.898600048393</v>
      </c>
      <c r="P60" s="178">
        <f t="shared" si="12"/>
        <v>42291.898600048393</v>
      </c>
      <c r="Q60" s="182" t="s">
        <v>51</v>
      </c>
      <c r="R60" s="178">
        <f t="shared" si="14"/>
        <v>7258.335</v>
      </c>
      <c r="S60" s="179">
        <f t="shared" si="15"/>
        <v>0.14648506559031282</v>
      </c>
      <c r="T60" s="182" t="s">
        <v>498</v>
      </c>
      <c r="U60" s="178">
        <v>42291.898600048393</v>
      </c>
      <c r="V60" s="178">
        <v>42291.898600048393</v>
      </c>
      <c r="W60" s="191">
        <f>V60/U60</f>
        <v>1</v>
      </c>
      <c r="X60" s="178">
        <v>0</v>
      </c>
      <c r="Y60" s="178">
        <v>0</v>
      </c>
      <c r="Z60" s="189" t="s">
        <v>89</v>
      </c>
      <c r="AA60" s="178">
        <v>0</v>
      </c>
      <c r="AB60" s="178">
        <v>0</v>
      </c>
      <c r="AC60" s="189" t="s">
        <v>89</v>
      </c>
      <c r="AD60" s="178">
        <v>0</v>
      </c>
      <c r="AE60" s="178">
        <v>0</v>
      </c>
      <c r="AF60" s="189" t="s">
        <v>89</v>
      </c>
      <c r="AG60" s="178" t="s">
        <v>52</v>
      </c>
      <c r="AH60" s="179">
        <v>1</v>
      </c>
      <c r="AI60" s="193"/>
      <c r="AJ60" s="178" t="str">
        <f t="shared" ref="AJ60:AJ67" si="19">IF(AI60&gt;0,"Invoiced", "Pending")</f>
        <v>Pending</v>
      </c>
      <c r="AK60" s="178">
        <f t="shared" si="17"/>
        <v>49550</v>
      </c>
      <c r="AL60" s="220">
        <v>45587</v>
      </c>
      <c r="AM60" s="215">
        <f>(Table13[[#This Row],[Invoice Date]]-Table13[[#This Row],[Month]])/7</f>
        <v>43.428571428571431</v>
      </c>
      <c r="AN60" s="229">
        <v>30</v>
      </c>
      <c r="AO60" s="219">
        <f t="shared" si="1"/>
        <v>45617</v>
      </c>
      <c r="AP60" s="178" t="s">
        <v>53</v>
      </c>
      <c r="AQ60" s="201" t="str">
        <f ca="1">IF(AND(AO60&lt;TODAY(),Table13[[#This Row],[Payment Status]]="Pending"),"Past Due", "OK")</f>
        <v>Past Due</v>
      </c>
    </row>
    <row r="61" spans="1:43">
      <c r="A61" s="173">
        <v>45283</v>
      </c>
      <c r="B61" s="174" t="s">
        <v>63</v>
      </c>
      <c r="C61" s="175" t="s">
        <v>542</v>
      </c>
      <c r="D61" s="174" t="s">
        <v>6</v>
      </c>
      <c r="E61" s="174" t="s">
        <v>543</v>
      </c>
      <c r="F61" s="174">
        <v>1977</v>
      </c>
      <c r="G61" s="176" t="s">
        <v>544</v>
      </c>
      <c r="H61" s="177" t="s">
        <v>381</v>
      </c>
      <c r="I61" s="177" t="s">
        <v>179</v>
      </c>
      <c r="J61" s="177" t="s">
        <v>3</v>
      </c>
      <c r="K61" s="177"/>
      <c r="L61" s="178">
        <v>50824</v>
      </c>
      <c r="M61" s="179">
        <v>0.09</v>
      </c>
      <c r="N61" s="178">
        <f>Table13[[#This Row],[PO Amount]]*0.09</f>
        <v>4574.16</v>
      </c>
      <c r="O61" s="178">
        <f>Table13[[#This Row],[PO Amount]]*0.91</f>
        <v>46249.840000000004</v>
      </c>
      <c r="P61" s="178">
        <f t="shared" si="12"/>
        <v>46249.840000000004</v>
      </c>
      <c r="Q61" s="182" t="s">
        <v>51</v>
      </c>
      <c r="R61" s="178">
        <f t="shared" si="14"/>
        <v>4574.16</v>
      </c>
      <c r="S61" s="179">
        <f t="shared" si="15"/>
        <v>0.09</v>
      </c>
      <c r="T61" s="182" t="s">
        <v>491</v>
      </c>
      <c r="U61" s="178">
        <f>Table13[[#This Row],[PO Amount]]*0.91</f>
        <v>46249.840000000004</v>
      </c>
      <c r="V61" s="178">
        <f>Table13[[#This Row],[PO Amount]]*0.91</f>
        <v>46249.840000000004</v>
      </c>
      <c r="W61" s="191">
        <f>V61/U61</f>
        <v>1</v>
      </c>
      <c r="X61" s="178">
        <v>0</v>
      </c>
      <c r="Y61" s="178">
        <v>0</v>
      </c>
      <c r="Z61" s="189" t="s">
        <v>89</v>
      </c>
      <c r="AA61" s="178">
        <v>0</v>
      </c>
      <c r="AB61" s="178">
        <v>0</v>
      </c>
      <c r="AC61" s="189" t="s">
        <v>89</v>
      </c>
      <c r="AD61" s="178">
        <v>0</v>
      </c>
      <c r="AE61" s="178">
        <v>0</v>
      </c>
      <c r="AF61" s="189" t="s">
        <v>89</v>
      </c>
      <c r="AG61" s="178" t="s">
        <v>98</v>
      </c>
      <c r="AH61" s="179">
        <v>0.3</v>
      </c>
      <c r="AI61" s="193">
        <v>1058</v>
      </c>
      <c r="AJ61" s="178" t="str">
        <f t="shared" si="19"/>
        <v>Invoiced</v>
      </c>
      <c r="AK61" s="178">
        <f t="shared" si="17"/>
        <v>15247.199999999999</v>
      </c>
      <c r="AL61" s="220">
        <v>45293</v>
      </c>
      <c r="AM61" s="215">
        <f>(Table13[[#This Row],[Invoice Date]]-Table13[[#This Row],[Month]])/7</f>
        <v>1.4285714285714286</v>
      </c>
      <c r="AN61" s="229">
        <v>30</v>
      </c>
      <c r="AO61" s="219">
        <f t="shared" si="1"/>
        <v>45323</v>
      </c>
      <c r="AP61" s="178" t="s">
        <v>94</v>
      </c>
      <c r="AQ61" s="201" t="str">
        <f ca="1">IF(AND(AO61&lt;TODAY(),Table13[[#This Row],[Payment Status]]="Pending"),"Past Due", "OK")</f>
        <v>OK</v>
      </c>
    </row>
    <row r="62" spans="1:43">
      <c r="A62" s="173">
        <v>45283</v>
      </c>
      <c r="B62" s="174" t="s">
        <v>63</v>
      </c>
      <c r="C62" s="175" t="s">
        <v>542</v>
      </c>
      <c r="D62" s="174" t="s">
        <v>6</v>
      </c>
      <c r="E62" s="174" t="s">
        <v>543</v>
      </c>
      <c r="F62" s="174" t="s">
        <v>492</v>
      </c>
      <c r="G62" s="176" t="s">
        <v>544</v>
      </c>
      <c r="H62" s="177" t="s">
        <v>381</v>
      </c>
      <c r="I62" s="177" t="s">
        <v>179</v>
      </c>
      <c r="J62" s="177" t="s">
        <v>3</v>
      </c>
      <c r="K62" s="177" t="s">
        <v>92</v>
      </c>
      <c r="L62" s="185">
        <v>0</v>
      </c>
      <c r="M62" s="185" t="s">
        <v>492</v>
      </c>
      <c r="N62" s="186">
        <v>0</v>
      </c>
      <c r="O62" s="186">
        <v>0</v>
      </c>
      <c r="P62" s="186">
        <v>0</v>
      </c>
      <c r="Q62" s="186" t="s">
        <v>492</v>
      </c>
      <c r="R62" s="186" t="s">
        <v>492</v>
      </c>
      <c r="S62" s="186"/>
      <c r="T62" s="182" t="s">
        <v>491</v>
      </c>
      <c r="U62" s="186" t="s">
        <v>492</v>
      </c>
      <c r="V62" s="186" t="s">
        <v>492</v>
      </c>
      <c r="W62" s="186" t="s">
        <v>492</v>
      </c>
      <c r="X62" s="186" t="s">
        <v>492</v>
      </c>
      <c r="Y62" s="186" t="s">
        <v>492</v>
      </c>
      <c r="Z62" s="186" t="s">
        <v>492</v>
      </c>
      <c r="AA62" s="186" t="s">
        <v>492</v>
      </c>
      <c r="AB62" s="186" t="s">
        <v>492</v>
      </c>
      <c r="AC62" s="186" t="s">
        <v>492</v>
      </c>
      <c r="AD62" s="186" t="s">
        <v>492</v>
      </c>
      <c r="AE62" s="186" t="s">
        <v>492</v>
      </c>
      <c r="AF62" s="186" t="s">
        <v>492</v>
      </c>
      <c r="AG62" s="178" t="s">
        <v>52</v>
      </c>
      <c r="AH62" s="179">
        <v>0.7</v>
      </c>
      <c r="AI62" s="193">
        <v>1062</v>
      </c>
      <c r="AJ62" s="178" t="str">
        <f t="shared" si="19"/>
        <v>Invoiced</v>
      </c>
      <c r="AK62" s="178">
        <f>L61*AH62</f>
        <v>35576.799999999996</v>
      </c>
      <c r="AL62" s="220">
        <v>45307</v>
      </c>
      <c r="AM62" s="215">
        <f>(Table13[[#This Row],[Invoice Date]]-Table13[[#This Row],[Month]])/7</f>
        <v>3.4285714285714284</v>
      </c>
      <c r="AN62" s="229">
        <v>30</v>
      </c>
      <c r="AO62" s="219">
        <f t="shared" si="1"/>
        <v>45337</v>
      </c>
      <c r="AP62" s="178" t="s">
        <v>94</v>
      </c>
      <c r="AQ62" s="201" t="str">
        <f ca="1">IF(AND(AO62&lt;TODAY(),Table13[[#This Row],[Payment Status]]="Pending"),"Past Due", "OK")</f>
        <v>OK</v>
      </c>
    </row>
    <row r="63" spans="1:43">
      <c r="A63" s="173">
        <v>45283</v>
      </c>
      <c r="B63" s="174" t="s">
        <v>63</v>
      </c>
      <c r="C63" s="175" t="s">
        <v>545</v>
      </c>
      <c r="D63" s="174" t="s">
        <v>6</v>
      </c>
      <c r="E63" s="174" t="s">
        <v>546</v>
      </c>
      <c r="F63" s="174">
        <v>1982</v>
      </c>
      <c r="G63" s="176" t="s">
        <v>547</v>
      </c>
      <c r="H63" s="177" t="s">
        <v>381</v>
      </c>
      <c r="I63" s="177" t="s">
        <v>179</v>
      </c>
      <c r="J63" s="177" t="s">
        <v>3</v>
      </c>
      <c r="K63" s="177"/>
      <c r="L63" s="178">
        <v>38324</v>
      </c>
      <c r="M63" s="179">
        <v>0.09</v>
      </c>
      <c r="N63" s="178">
        <f>Table13[[#This Row],[PO Amount]]*0.09</f>
        <v>3449.16</v>
      </c>
      <c r="O63" s="178">
        <f>Table13[[#This Row],[PO Amount]]*0.91</f>
        <v>34874.840000000004</v>
      </c>
      <c r="P63" s="178">
        <f t="shared" ref="P63" si="20">V63+Y63+AB63</f>
        <v>34874.840000000004</v>
      </c>
      <c r="Q63" s="182" t="s">
        <v>51</v>
      </c>
      <c r="R63" s="178">
        <f t="shared" ref="R63" si="21">(O63-P63)+N63</f>
        <v>3449.16</v>
      </c>
      <c r="S63" s="179">
        <f t="shared" ref="S63" si="22">R63/L63</f>
        <v>0.09</v>
      </c>
      <c r="T63" s="182" t="s">
        <v>491</v>
      </c>
      <c r="U63" s="178">
        <f>Table13[[#This Row],[PO Amount]]*0.91</f>
        <v>34874.840000000004</v>
      </c>
      <c r="V63" s="178">
        <f>Table13[[#This Row],[PO Amount]]*0.91</f>
        <v>34874.840000000004</v>
      </c>
      <c r="W63" s="191">
        <f>V63/U63</f>
        <v>1</v>
      </c>
      <c r="X63" s="178">
        <v>0</v>
      </c>
      <c r="Y63" s="178">
        <v>0</v>
      </c>
      <c r="Z63" s="189" t="s">
        <v>89</v>
      </c>
      <c r="AA63" s="178">
        <v>0</v>
      </c>
      <c r="AB63" s="178">
        <v>0</v>
      </c>
      <c r="AC63" s="189" t="s">
        <v>89</v>
      </c>
      <c r="AD63" s="178">
        <v>0</v>
      </c>
      <c r="AE63" s="178">
        <v>0</v>
      </c>
      <c r="AF63" s="189" t="s">
        <v>89</v>
      </c>
      <c r="AG63" s="178" t="s">
        <v>98</v>
      </c>
      <c r="AH63" s="179">
        <v>0.3</v>
      </c>
      <c r="AI63" s="193">
        <v>1057</v>
      </c>
      <c r="AJ63" s="178" t="str">
        <f t="shared" si="19"/>
        <v>Invoiced</v>
      </c>
      <c r="AK63" s="178">
        <f t="shared" si="17"/>
        <v>11497.199999999999</v>
      </c>
      <c r="AL63" s="220">
        <v>45293</v>
      </c>
      <c r="AM63" s="215">
        <f>(Table13[[#This Row],[Invoice Date]]-Table13[[#This Row],[Month]])/7</f>
        <v>1.4285714285714286</v>
      </c>
      <c r="AN63" s="229">
        <v>30</v>
      </c>
      <c r="AO63" s="219">
        <f t="shared" si="1"/>
        <v>45323</v>
      </c>
      <c r="AP63" s="178" t="s">
        <v>94</v>
      </c>
      <c r="AQ63" s="201" t="str">
        <f ca="1">IF(AND(AO63&lt;TODAY(),Table13[[#This Row],[Payment Status]]="Pending"),"Past Due", "OK")</f>
        <v>OK</v>
      </c>
    </row>
    <row r="64" spans="1:43" s="202" customFormat="1" ht="15" customHeight="1">
      <c r="A64" s="173">
        <v>45283</v>
      </c>
      <c r="B64" s="174" t="s">
        <v>63</v>
      </c>
      <c r="C64" s="175" t="s">
        <v>545</v>
      </c>
      <c r="D64" s="174" t="s">
        <v>6</v>
      </c>
      <c r="E64" s="174" t="s">
        <v>546</v>
      </c>
      <c r="F64" s="174" t="s">
        <v>492</v>
      </c>
      <c r="G64" s="176" t="s">
        <v>547</v>
      </c>
      <c r="H64" s="177" t="s">
        <v>381</v>
      </c>
      <c r="I64" s="177" t="s">
        <v>179</v>
      </c>
      <c r="J64" s="177" t="s">
        <v>3</v>
      </c>
      <c r="K64" s="177" t="s">
        <v>92</v>
      </c>
      <c r="L64" s="185">
        <v>0</v>
      </c>
      <c r="M64" s="185" t="s">
        <v>492</v>
      </c>
      <c r="N64" s="186">
        <v>0</v>
      </c>
      <c r="O64" s="186">
        <v>0</v>
      </c>
      <c r="P64" s="186">
        <v>0</v>
      </c>
      <c r="Q64" s="186" t="s">
        <v>492</v>
      </c>
      <c r="R64" s="186" t="s">
        <v>492</v>
      </c>
      <c r="S64" s="186"/>
      <c r="T64" s="182" t="s">
        <v>491</v>
      </c>
      <c r="U64" s="186" t="s">
        <v>492</v>
      </c>
      <c r="V64" s="186" t="s">
        <v>492</v>
      </c>
      <c r="W64" s="186" t="s">
        <v>492</v>
      </c>
      <c r="X64" s="186" t="s">
        <v>492</v>
      </c>
      <c r="Y64" s="186" t="s">
        <v>492</v>
      </c>
      <c r="Z64" s="186" t="s">
        <v>492</v>
      </c>
      <c r="AA64" s="186" t="s">
        <v>492</v>
      </c>
      <c r="AB64" s="186" t="s">
        <v>492</v>
      </c>
      <c r="AC64" s="186" t="s">
        <v>492</v>
      </c>
      <c r="AD64" s="186" t="s">
        <v>492</v>
      </c>
      <c r="AE64" s="186" t="s">
        <v>492</v>
      </c>
      <c r="AF64" s="186" t="s">
        <v>492</v>
      </c>
      <c r="AG64" s="178" t="s">
        <v>52</v>
      </c>
      <c r="AH64" s="179">
        <v>0.7</v>
      </c>
      <c r="AI64" s="193">
        <v>1063</v>
      </c>
      <c r="AJ64" s="178" t="str">
        <f t="shared" si="19"/>
        <v>Invoiced</v>
      </c>
      <c r="AK64" s="178">
        <f>L63*AH64</f>
        <v>26826.799999999999</v>
      </c>
      <c r="AL64" s="220">
        <v>45314</v>
      </c>
      <c r="AM64" s="215">
        <f>(Table13[[#This Row],[Invoice Date]]-Table13[[#This Row],[Month]])/7</f>
        <v>4.4285714285714288</v>
      </c>
      <c r="AN64" s="229">
        <v>30</v>
      </c>
      <c r="AO64" s="219">
        <f t="shared" si="1"/>
        <v>45344</v>
      </c>
      <c r="AP64" s="178" t="s">
        <v>94</v>
      </c>
      <c r="AQ64" s="201" t="str">
        <f ca="1">IF(AND(AO64&lt;TODAY(),Table13[[#This Row],[Payment Status]]="Pending"),"Past Due", "OK")</f>
        <v>OK</v>
      </c>
    </row>
    <row r="65" spans="1:43">
      <c r="A65" s="173">
        <v>45292</v>
      </c>
      <c r="B65" s="174" t="s">
        <v>63</v>
      </c>
      <c r="C65" s="175" t="s">
        <v>548</v>
      </c>
      <c r="D65" s="174" t="s">
        <v>88</v>
      </c>
      <c r="E65" s="174" t="s">
        <v>89</v>
      </c>
      <c r="F65" s="174" t="s">
        <v>89</v>
      </c>
      <c r="G65" s="176" t="s">
        <v>549</v>
      </c>
      <c r="H65" s="177" t="s">
        <v>108</v>
      </c>
      <c r="I65" s="177" t="s">
        <v>109</v>
      </c>
      <c r="J65" s="177" t="s">
        <v>49</v>
      </c>
      <c r="K65" s="177" t="s">
        <v>68</v>
      </c>
      <c r="L65" s="178">
        <v>50489.51</v>
      </c>
      <c r="M65" s="179">
        <f>Table13[[#This Row],[Quoted Rev]]/Table13[[#This Row],[PO Amount]]</f>
        <v>0.52481812558687935</v>
      </c>
      <c r="N65" s="178">
        <v>26497.81</v>
      </c>
      <c r="O65" s="178">
        <v>23991.699999999997</v>
      </c>
      <c r="P65" s="178">
        <f t="shared" ref="P65" si="23">V65+Y65+AB65</f>
        <v>0</v>
      </c>
      <c r="Q65" s="178" t="s">
        <v>51</v>
      </c>
      <c r="R65" s="178">
        <f t="shared" ref="R65" si="24">(O65-P65)+N65</f>
        <v>50489.509999999995</v>
      </c>
      <c r="S65" s="179">
        <f t="shared" ref="S65:S68" si="25">R65/L65</f>
        <v>0.99999999999999989</v>
      </c>
      <c r="T65" s="178" t="s">
        <v>498</v>
      </c>
      <c r="U65" s="178">
        <v>23341.7</v>
      </c>
      <c r="V65" s="178">
        <v>0</v>
      </c>
      <c r="W65" s="178" t="s">
        <v>492</v>
      </c>
      <c r="X65" s="178">
        <v>650</v>
      </c>
      <c r="Y65" s="178">
        <v>0</v>
      </c>
      <c r="Z65" s="178" t="s">
        <v>492</v>
      </c>
      <c r="AA65" s="178">
        <v>0</v>
      </c>
      <c r="AB65" s="178">
        <v>0</v>
      </c>
      <c r="AC65" s="178" t="s">
        <v>89</v>
      </c>
      <c r="AD65" s="193">
        <v>0</v>
      </c>
      <c r="AE65" s="193">
        <v>0</v>
      </c>
      <c r="AF65" s="178" t="s">
        <v>89</v>
      </c>
      <c r="AG65" s="178" t="s">
        <v>52</v>
      </c>
      <c r="AH65" s="179">
        <v>1</v>
      </c>
      <c r="AI65" s="193">
        <v>1080</v>
      </c>
      <c r="AJ65" s="178" t="str">
        <f t="shared" si="19"/>
        <v>Invoiced</v>
      </c>
      <c r="AK65" s="178">
        <f>AH65*L65</f>
        <v>50489.51</v>
      </c>
      <c r="AL65" s="220">
        <v>45383</v>
      </c>
      <c r="AM65" s="215">
        <f>(Table13[[#This Row],[Invoice Date]]-Table13[[#This Row],[Month]])/7</f>
        <v>13</v>
      </c>
      <c r="AN65" s="229">
        <v>60</v>
      </c>
      <c r="AO65" s="219">
        <f t="shared" si="1"/>
        <v>45443</v>
      </c>
      <c r="AP65" s="178" t="s">
        <v>53</v>
      </c>
      <c r="AQ65" s="201" t="str">
        <f ca="1">IF(AND(AO65&lt;TODAY(),Table13[[#This Row],[Payment Status]]="Pending"),"Past Due", "OK")</f>
        <v>Past Due</v>
      </c>
    </row>
    <row r="66" spans="1:43">
      <c r="A66" s="173">
        <v>45315</v>
      </c>
      <c r="B66" s="174" t="s">
        <v>63</v>
      </c>
      <c r="C66" s="175" t="s">
        <v>550</v>
      </c>
      <c r="D66" s="174" t="s">
        <v>427</v>
      </c>
      <c r="E66" s="174" t="s">
        <v>89</v>
      </c>
      <c r="F66" s="174" t="s">
        <v>89</v>
      </c>
      <c r="G66" s="176" t="s">
        <v>551</v>
      </c>
      <c r="H66" s="177" t="s">
        <v>444</v>
      </c>
      <c r="I66" s="177" t="s">
        <v>271</v>
      </c>
      <c r="J66" s="177" t="s">
        <v>3</v>
      </c>
      <c r="K66" s="177" t="s">
        <v>92</v>
      </c>
      <c r="L66" s="178">
        <v>44343.13</v>
      </c>
      <c r="M66" s="179">
        <f>Table13[[#This Row],[Quoted Rev]]/Table13[[#This Row],[PO Amount]]</f>
        <v>0</v>
      </c>
      <c r="N66" s="178">
        <v>0</v>
      </c>
      <c r="O66" s="178"/>
      <c r="P66" s="178"/>
      <c r="Q66" s="178" t="s">
        <v>51</v>
      </c>
      <c r="R66" s="178"/>
      <c r="S66" s="179">
        <f t="shared" si="25"/>
        <v>0</v>
      </c>
      <c r="T66" s="178" t="s">
        <v>498</v>
      </c>
      <c r="U66" s="178"/>
      <c r="V66" s="178"/>
      <c r="W66" s="178"/>
      <c r="X66" s="178"/>
      <c r="Y66" s="178"/>
      <c r="Z66" s="178"/>
      <c r="AA66" s="178"/>
      <c r="AB66" s="178"/>
      <c r="AC66" s="178"/>
      <c r="AD66" s="193"/>
      <c r="AE66" s="193"/>
      <c r="AF66" s="178"/>
      <c r="AG66" s="178" t="s">
        <v>52</v>
      </c>
      <c r="AH66" s="179">
        <v>1</v>
      </c>
      <c r="AI66" s="193">
        <v>1088</v>
      </c>
      <c r="AJ66" s="178" t="str">
        <f t="shared" si="19"/>
        <v>Invoiced</v>
      </c>
      <c r="AK66" s="178">
        <f>Table13[[#This Row],[PO Amount]]*Table13[[#This Row],[Percentage]]</f>
        <v>44343.13</v>
      </c>
      <c r="AL66" s="220">
        <v>45461</v>
      </c>
      <c r="AM66" s="215">
        <f>(Table13[[#This Row],[Invoice Date]]-Table13[[#This Row],[Month]])/7</f>
        <v>20.857142857142858</v>
      </c>
      <c r="AN66" s="229">
        <v>30</v>
      </c>
      <c r="AO66" s="219">
        <f t="shared" si="1"/>
        <v>45491</v>
      </c>
      <c r="AP66" s="178" t="s">
        <v>53</v>
      </c>
      <c r="AQ66" s="201" t="str">
        <f ca="1">IF(AND(AO66&lt;TODAY(),Table13[[#This Row],[Payment Status]]="Pending"),"Past Due", "OK")</f>
        <v>Past Due</v>
      </c>
    </row>
    <row r="67" spans="1:43">
      <c r="A67" s="173">
        <v>45315</v>
      </c>
      <c r="B67" s="174" t="s">
        <v>63</v>
      </c>
      <c r="C67" s="175" t="s">
        <v>552</v>
      </c>
      <c r="D67" s="174" t="s">
        <v>427</v>
      </c>
      <c r="E67" s="174" t="s">
        <v>89</v>
      </c>
      <c r="F67" s="174" t="s">
        <v>89</v>
      </c>
      <c r="G67" s="176" t="s">
        <v>553</v>
      </c>
      <c r="H67" s="177" t="s">
        <v>444</v>
      </c>
      <c r="I67" s="177" t="s">
        <v>271</v>
      </c>
      <c r="J67" s="177" t="s">
        <v>3</v>
      </c>
      <c r="K67" s="177" t="s">
        <v>92</v>
      </c>
      <c r="L67" s="178">
        <v>21200.240000000002</v>
      </c>
      <c r="M67" s="179">
        <f>Table13[[#This Row],[Quoted Rev]]/Table13[[#This Row],[PO Amount]]</f>
        <v>0</v>
      </c>
      <c r="N67" s="178">
        <v>0</v>
      </c>
      <c r="O67" s="178"/>
      <c r="P67" s="178"/>
      <c r="Q67" s="178" t="s">
        <v>51</v>
      </c>
      <c r="R67" s="178"/>
      <c r="S67" s="179">
        <f t="shared" si="25"/>
        <v>0</v>
      </c>
      <c r="T67" s="178" t="s">
        <v>498</v>
      </c>
      <c r="U67" s="178"/>
      <c r="V67" s="178"/>
      <c r="W67" s="178"/>
      <c r="X67" s="178"/>
      <c r="Y67" s="178"/>
      <c r="Z67" s="178"/>
      <c r="AA67" s="178"/>
      <c r="AB67" s="178"/>
      <c r="AC67" s="178"/>
      <c r="AD67" s="193"/>
      <c r="AE67" s="193"/>
      <c r="AF67" s="178"/>
      <c r="AG67" s="178" t="s">
        <v>52</v>
      </c>
      <c r="AH67" s="179">
        <v>1</v>
      </c>
      <c r="AI67" s="193">
        <v>1089</v>
      </c>
      <c r="AJ67" s="178" t="str">
        <f t="shared" si="19"/>
        <v>Invoiced</v>
      </c>
      <c r="AK67" s="178">
        <f>Table13[[#This Row],[PO Amount]]*Table13[[#This Row],[Percentage]]</f>
        <v>21200.240000000002</v>
      </c>
      <c r="AL67" s="220">
        <v>45461</v>
      </c>
      <c r="AM67" s="215">
        <f>(Table13[[#This Row],[Invoice Date]]-Table13[[#This Row],[Month]])/7</f>
        <v>20.857142857142858</v>
      </c>
      <c r="AN67" s="229">
        <v>30</v>
      </c>
      <c r="AO67" s="219">
        <f t="shared" si="1"/>
        <v>45491</v>
      </c>
      <c r="AP67" s="178" t="s">
        <v>53</v>
      </c>
      <c r="AQ67" s="201" t="str">
        <f ca="1">IF(AND(AO67&lt;TODAY(),Table13[[#This Row],[Payment Status]]="Pending"),"Past Due", "OK")</f>
        <v>Past Due</v>
      </c>
    </row>
    <row r="68" spans="1:43">
      <c r="A68" s="173">
        <v>45322</v>
      </c>
      <c r="B68" s="174" t="s">
        <v>44</v>
      </c>
      <c r="C68" s="175" t="s">
        <v>554</v>
      </c>
      <c r="D68" s="174" t="s">
        <v>6</v>
      </c>
      <c r="E68" s="174" t="s">
        <v>53</v>
      </c>
      <c r="F68" s="174" t="s">
        <v>53</v>
      </c>
      <c r="G68" s="176" t="s">
        <v>348</v>
      </c>
      <c r="H68" s="177" t="s">
        <v>108</v>
      </c>
      <c r="I68" s="177" t="s">
        <v>109</v>
      </c>
      <c r="J68" s="177" t="s">
        <v>49</v>
      </c>
      <c r="K68" s="177" t="s">
        <v>101</v>
      </c>
      <c r="L68" s="178">
        <v>598</v>
      </c>
      <c r="M68" s="179">
        <f>Table13[[#This Row],[Quoted Rev]]/Table13[[#This Row],[PO Amount]]</f>
        <v>0.13043478260869565</v>
      </c>
      <c r="N68" s="178">
        <v>78</v>
      </c>
      <c r="O68" s="178">
        <v>520</v>
      </c>
      <c r="P68" s="178">
        <f>V68+Y68+AB68</f>
        <v>520</v>
      </c>
      <c r="Q68" s="178" t="s">
        <v>51</v>
      </c>
      <c r="R68" s="178">
        <f t="shared" ref="R68" si="26">(O68-P68)+N68</f>
        <v>78</v>
      </c>
      <c r="S68" s="179">
        <f t="shared" si="25"/>
        <v>0.13043478260869565</v>
      </c>
      <c r="T68" s="178" t="s">
        <v>498</v>
      </c>
      <c r="U68" s="178">
        <v>520</v>
      </c>
      <c r="V68" s="178">
        <v>520</v>
      </c>
      <c r="W68" s="191">
        <f>V68/U68</f>
        <v>1</v>
      </c>
      <c r="X68" s="178">
        <v>0</v>
      </c>
      <c r="Y68" s="178">
        <v>0</v>
      </c>
      <c r="Z68" s="189" t="s">
        <v>89</v>
      </c>
      <c r="AA68" s="178">
        <v>0</v>
      </c>
      <c r="AB68" s="178">
        <v>0</v>
      </c>
      <c r="AC68" s="189" t="s">
        <v>89</v>
      </c>
      <c r="AD68" s="178">
        <v>0</v>
      </c>
      <c r="AE68" s="178">
        <v>0</v>
      </c>
      <c r="AF68" s="189" t="s">
        <v>89</v>
      </c>
      <c r="AG68" s="178" t="s">
        <v>52</v>
      </c>
      <c r="AH68" s="179">
        <v>1</v>
      </c>
      <c r="AI68" s="193">
        <v>1082</v>
      </c>
      <c r="AJ68" s="178" t="s">
        <v>93</v>
      </c>
      <c r="AK68" s="178">
        <f>Table13[[#This Row],[PO Amount]]*Table13[[#This Row],[Percentage]]</f>
        <v>598</v>
      </c>
      <c r="AL68" s="220">
        <v>45398</v>
      </c>
      <c r="AM68" s="215">
        <f>(Table13[[#This Row],[Invoice Date]]-Table13[[#This Row],[Month]])/7</f>
        <v>10.857142857142858</v>
      </c>
      <c r="AN68" s="229">
        <v>30</v>
      </c>
      <c r="AO68" s="219">
        <f t="shared" ref="AO68:AO70" si="27">AL68+AN68</f>
        <v>45428</v>
      </c>
      <c r="AP68" s="178" t="s">
        <v>53</v>
      </c>
      <c r="AQ68" s="201" t="str">
        <f ca="1">IF(AND(AO68&lt;TODAY(),Table13[[#This Row],[Payment Status]]="Pending"),"Past Due", "OK")</f>
        <v>Past Due</v>
      </c>
    </row>
    <row r="69" spans="1:43" hidden="1">
      <c r="A69" s="173">
        <v>45336</v>
      </c>
      <c r="B69" s="174" t="s">
        <v>63</v>
      </c>
      <c r="C69" s="175" t="s">
        <v>555</v>
      </c>
      <c r="D69" s="174" t="s">
        <v>427</v>
      </c>
      <c r="E69" s="174" t="s">
        <v>89</v>
      </c>
      <c r="F69" s="174" t="s">
        <v>89</v>
      </c>
      <c r="G69" s="176" t="s">
        <v>556</v>
      </c>
      <c r="H69" s="177" t="s">
        <v>112</v>
      </c>
      <c r="I69" s="177" t="s">
        <v>113</v>
      </c>
      <c r="J69" s="177" t="s">
        <v>3</v>
      </c>
      <c r="K69" s="177"/>
      <c r="L69" s="178">
        <v>33559.21</v>
      </c>
      <c r="M69" s="179">
        <f>Table13[[#This Row],[Quoted Rev]]/Table13[[#This Row],[PO Amount]]</f>
        <v>0</v>
      </c>
      <c r="N69" s="178">
        <v>0</v>
      </c>
      <c r="O69" s="178"/>
      <c r="P69" s="178"/>
      <c r="Q69" s="178"/>
      <c r="R69" s="178"/>
      <c r="S69" s="178"/>
      <c r="T69" s="178"/>
      <c r="U69" s="178"/>
      <c r="V69" s="178"/>
      <c r="W69" s="178"/>
      <c r="X69" s="178"/>
      <c r="Y69" s="178"/>
      <c r="Z69" s="178"/>
      <c r="AA69" s="178"/>
      <c r="AB69" s="178"/>
      <c r="AC69" s="178"/>
      <c r="AD69" s="193"/>
      <c r="AE69" s="193"/>
      <c r="AF69" s="178"/>
      <c r="AG69" s="178" t="s">
        <v>52</v>
      </c>
      <c r="AH69" s="179">
        <v>1</v>
      </c>
      <c r="AI69" s="193"/>
      <c r="AJ69" s="237" t="s">
        <v>557</v>
      </c>
      <c r="AK69" s="178">
        <v>0</v>
      </c>
      <c r="AL69" s="220"/>
      <c r="AM69" s="215">
        <v>0</v>
      </c>
      <c r="AN69" s="229"/>
      <c r="AO69" s="178">
        <v>0</v>
      </c>
      <c r="AP69" s="178" t="s">
        <v>94</v>
      </c>
      <c r="AQ69" s="201" t="str">
        <f ca="1">IF(AND(AO69&lt;TODAY(),Table13[[#This Row],[Payment Status]]="Pending"),"Past Due", "OK")</f>
        <v>OK</v>
      </c>
    </row>
    <row r="70" spans="1:43">
      <c r="A70" s="173">
        <v>45344</v>
      </c>
      <c r="B70" s="174" t="s">
        <v>44</v>
      </c>
      <c r="C70" s="175" t="s">
        <v>558</v>
      </c>
      <c r="D70" s="174" t="s">
        <v>88</v>
      </c>
      <c r="E70" s="174" t="s">
        <v>53</v>
      </c>
      <c r="F70" s="174" t="s">
        <v>53</v>
      </c>
      <c r="G70" s="176" t="s">
        <v>559</v>
      </c>
      <c r="H70" s="177" t="s">
        <v>108</v>
      </c>
      <c r="I70" s="177" t="s">
        <v>109</v>
      </c>
      <c r="J70" s="177" t="s">
        <v>49</v>
      </c>
      <c r="K70" s="177"/>
      <c r="L70" s="178">
        <v>36965.019999999997</v>
      </c>
      <c r="M70" s="179">
        <f>Table13[[#This Row],[Quoted Rev]]/Table13[[#This Row],[PO Amount]]</f>
        <v>0</v>
      </c>
      <c r="N70" s="178">
        <v>0</v>
      </c>
      <c r="O70" s="178"/>
      <c r="P70" s="178"/>
      <c r="Q70" s="178" t="s">
        <v>51</v>
      </c>
      <c r="R70" s="178"/>
      <c r="S70" s="178"/>
      <c r="T70" s="178"/>
      <c r="U70" s="178"/>
      <c r="V70" s="178"/>
      <c r="W70" s="178"/>
      <c r="X70" s="178"/>
      <c r="Y70" s="178"/>
      <c r="Z70" s="178"/>
      <c r="AA70" s="178"/>
      <c r="AB70" s="178"/>
      <c r="AC70" s="178"/>
      <c r="AD70" s="193"/>
      <c r="AE70" s="193"/>
      <c r="AF70" s="178"/>
      <c r="AG70" s="178" t="s">
        <v>52</v>
      </c>
      <c r="AH70" s="179">
        <v>1</v>
      </c>
      <c r="AI70" s="193"/>
      <c r="AJ70" s="178" t="s">
        <v>53</v>
      </c>
      <c r="AK70" s="178">
        <f>+Table13[[#This Row],[PO Amount]]</f>
        <v>36965.019999999997</v>
      </c>
      <c r="AL70" s="220">
        <v>45523</v>
      </c>
      <c r="AM70" s="215">
        <f>(Table13[[#This Row],[Invoice Date]]-Table13[[#This Row],[Month]])/7</f>
        <v>25.571428571428573</v>
      </c>
      <c r="AN70" s="229">
        <v>60</v>
      </c>
      <c r="AO70" s="219">
        <f t="shared" si="27"/>
        <v>45583</v>
      </c>
      <c r="AP70" s="178" t="s">
        <v>53</v>
      </c>
      <c r="AQ70" s="201" t="str">
        <f ca="1">IF(AND(AO70&lt;TODAY(),Table13[[#This Row],[Payment Status]]="Pending"),"Past Due", "OK")</f>
        <v>Past Due</v>
      </c>
    </row>
    <row r="71" spans="1:43">
      <c r="A71" s="173">
        <v>45350</v>
      </c>
      <c r="B71" s="174" t="s">
        <v>57</v>
      </c>
      <c r="C71" s="175" t="s">
        <v>82</v>
      </c>
      <c r="D71" s="174" t="s">
        <v>6</v>
      </c>
      <c r="E71" s="174" t="s">
        <v>53</v>
      </c>
      <c r="F71" s="174" t="s">
        <v>53</v>
      </c>
      <c r="G71" s="176" t="s">
        <v>83</v>
      </c>
      <c r="H71" s="177" t="s">
        <v>84</v>
      </c>
      <c r="I71" s="177" t="s">
        <v>85</v>
      </c>
      <c r="J71" s="177" t="s">
        <v>49</v>
      </c>
      <c r="K71" s="177"/>
      <c r="L71" s="178">
        <v>62476.01</v>
      </c>
      <c r="M71" s="179">
        <f>Table13[[#This Row],[Quoted Rev]]/Table13[[#This Row],[PO Amount]]</f>
        <v>0</v>
      </c>
      <c r="N71" s="178">
        <v>0</v>
      </c>
      <c r="O71" s="178"/>
      <c r="P71" s="178"/>
      <c r="Q71" s="178"/>
      <c r="R71" s="178"/>
      <c r="S71" s="178"/>
      <c r="T71" s="178"/>
      <c r="U71" s="178"/>
      <c r="V71" s="178"/>
      <c r="W71" s="178"/>
      <c r="X71" s="178"/>
      <c r="Y71" s="178"/>
      <c r="Z71" s="178"/>
      <c r="AA71" s="178"/>
      <c r="AB71" s="178"/>
      <c r="AC71" s="178"/>
      <c r="AD71" s="193"/>
      <c r="AE71" s="193"/>
      <c r="AF71" s="178"/>
      <c r="AG71" s="178" t="s">
        <v>98</v>
      </c>
      <c r="AH71" s="179">
        <v>0.3</v>
      </c>
      <c r="AI71" s="193">
        <v>1071</v>
      </c>
      <c r="AJ71" s="178" t="s">
        <v>93</v>
      </c>
      <c r="AK71" s="178">
        <f>+Table13[[#This Row],[PO Amount]]*Table13[[#This Row],[Percentage]]</f>
        <v>18742.803</v>
      </c>
      <c r="AL71" s="220">
        <v>45355</v>
      </c>
      <c r="AM71" s="215">
        <f>(Table13[[#This Row],[Invoice Date]]-Table13[[#This Row],[Month]])/7</f>
        <v>0.7142857142857143</v>
      </c>
      <c r="AN71" s="229">
        <v>0</v>
      </c>
      <c r="AO71" s="219">
        <v>45498</v>
      </c>
      <c r="AP71" s="178" t="s">
        <v>94</v>
      </c>
      <c r="AQ71" s="201" t="str">
        <f ca="1">IF(AND(AO71&lt;TODAY(),Table13[[#This Row],[Payment Status]]="Pending"),"Past Due", "OK")</f>
        <v>OK</v>
      </c>
    </row>
    <row r="72" spans="1:43">
      <c r="A72" s="173">
        <v>45350</v>
      </c>
      <c r="B72" s="174" t="s">
        <v>57</v>
      </c>
      <c r="C72" s="175" t="s">
        <v>82</v>
      </c>
      <c r="D72" s="174" t="s">
        <v>6</v>
      </c>
      <c r="E72" s="174" t="s">
        <v>53</v>
      </c>
      <c r="F72" s="174" t="s">
        <v>53</v>
      </c>
      <c r="G72" s="176" t="s">
        <v>83</v>
      </c>
      <c r="H72" s="177" t="s">
        <v>84</v>
      </c>
      <c r="I72" s="177" t="s">
        <v>85</v>
      </c>
      <c r="J72" s="177" t="s">
        <v>49</v>
      </c>
      <c r="K72" s="177"/>
      <c r="L72" s="185">
        <v>0</v>
      </c>
      <c r="M72" s="185" t="s">
        <v>492</v>
      </c>
      <c r="N72" s="186">
        <v>0</v>
      </c>
      <c r="O72" s="186">
        <v>0</v>
      </c>
      <c r="P72" s="186">
        <v>0</v>
      </c>
      <c r="Q72" s="186" t="s">
        <v>492</v>
      </c>
      <c r="R72" s="178"/>
      <c r="S72" s="178"/>
      <c r="T72" s="178"/>
      <c r="U72" s="178"/>
      <c r="V72" s="178"/>
      <c r="W72" s="178"/>
      <c r="X72" s="178"/>
      <c r="Y72" s="178"/>
      <c r="Z72" s="178"/>
      <c r="AA72" s="178"/>
      <c r="AB72" s="178"/>
      <c r="AC72" s="178"/>
      <c r="AD72" s="193"/>
      <c r="AE72" s="193"/>
      <c r="AF72" s="178"/>
      <c r="AG72" s="178" t="s">
        <v>187</v>
      </c>
      <c r="AH72" s="179">
        <v>0.3</v>
      </c>
      <c r="AI72" s="193"/>
      <c r="AJ72" s="178" t="s">
        <v>53</v>
      </c>
      <c r="AK72" s="178">
        <f>+L71*Table13[[#This Row],[Percentage]]</f>
        <v>18742.803</v>
      </c>
      <c r="AL72" s="220">
        <v>45550</v>
      </c>
      <c r="AM72" s="215">
        <f>(Table13[[#This Row],[Invoice Date]]-Table13[[#This Row],[Month]])/7</f>
        <v>28.571428571428573</v>
      </c>
      <c r="AN72" s="229">
        <v>60</v>
      </c>
      <c r="AO72" s="219">
        <f t="shared" ref="AO72:AO74" si="28">AL72+AN72</f>
        <v>45610</v>
      </c>
      <c r="AP72" s="178" t="s">
        <v>53</v>
      </c>
      <c r="AQ72" s="201" t="str">
        <f ca="1">IF(AND(AO72&lt;TODAY(),Table13[[#This Row],[Payment Status]]="Pending"),"Past Due", "OK")</f>
        <v>Past Due</v>
      </c>
    </row>
    <row r="73" spans="1:43">
      <c r="A73" s="173">
        <v>45350</v>
      </c>
      <c r="B73" s="174" t="s">
        <v>57</v>
      </c>
      <c r="C73" s="175" t="s">
        <v>82</v>
      </c>
      <c r="D73" s="174" t="s">
        <v>6</v>
      </c>
      <c r="E73" s="174" t="s">
        <v>53</v>
      </c>
      <c r="F73" s="174" t="s">
        <v>53</v>
      </c>
      <c r="G73" s="176" t="s">
        <v>83</v>
      </c>
      <c r="H73" s="177" t="s">
        <v>84</v>
      </c>
      <c r="I73" s="177" t="s">
        <v>85</v>
      </c>
      <c r="J73" s="177" t="s">
        <v>49</v>
      </c>
      <c r="K73" s="177"/>
      <c r="L73" s="185">
        <v>0</v>
      </c>
      <c r="M73" s="185" t="s">
        <v>492</v>
      </c>
      <c r="N73" s="186">
        <v>0</v>
      </c>
      <c r="O73" s="186">
        <v>0</v>
      </c>
      <c r="P73" s="186">
        <v>0</v>
      </c>
      <c r="Q73" s="186" t="s">
        <v>492</v>
      </c>
      <c r="R73" s="178"/>
      <c r="S73" s="178"/>
      <c r="T73" s="178"/>
      <c r="U73" s="178"/>
      <c r="V73" s="178"/>
      <c r="W73" s="178"/>
      <c r="X73" s="178"/>
      <c r="Y73" s="178"/>
      <c r="Z73" s="178"/>
      <c r="AA73" s="178"/>
      <c r="AB73" s="178"/>
      <c r="AC73" s="178"/>
      <c r="AD73" s="193"/>
      <c r="AE73" s="193"/>
      <c r="AF73" s="178"/>
      <c r="AG73" s="178" t="s">
        <v>62</v>
      </c>
      <c r="AH73" s="179">
        <v>0.3</v>
      </c>
      <c r="AI73" s="193"/>
      <c r="AJ73" s="178" t="s">
        <v>53</v>
      </c>
      <c r="AK73" s="178">
        <f>+L71*Table13[[#This Row],[Percentage]]</f>
        <v>18742.803</v>
      </c>
      <c r="AL73" s="220">
        <v>45575</v>
      </c>
      <c r="AM73" s="215">
        <f>(Table13[[#This Row],[Invoice Date]]-Table13[[#This Row],[Month]])/7</f>
        <v>32.142857142857146</v>
      </c>
      <c r="AN73" s="229">
        <v>60</v>
      </c>
      <c r="AO73" s="219">
        <f t="shared" si="28"/>
        <v>45635</v>
      </c>
      <c r="AP73" s="178" t="s">
        <v>53</v>
      </c>
      <c r="AQ73" s="201" t="str">
        <f ca="1">IF(AND(AO73&lt;TODAY(),Table13[[#This Row],[Payment Status]]="Pending"),"Past Due", "OK")</f>
        <v>Past Due</v>
      </c>
    </row>
    <row r="74" spans="1:43">
      <c r="A74" s="173">
        <v>45350</v>
      </c>
      <c r="B74" s="174" t="s">
        <v>57</v>
      </c>
      <c r="C74" s="175" t="s">
        <v>82</v>
      </c>
      <c r="D74" s="174" t="s">
        <v>6</v>
      </c>
      <c r="E74" s="174" t="s">
        <v>53</v>
      </c>
      <c r="F74" s="174" t="s">
        <v>53</v>
      </c>
      <c r="G74" s="176" t="s">
        <v>83</v>
      </c>
      <c r="H74" s="177" t="s">
        <v>84</v>
      </c>
      <c r="I74" s="177" t="s">
        <v>85</v>
      </c>
      <c r="J74" s="177" t="s">
        <v>49</v>
      </c>
      <c r="K74" s="177"/>
      <c r="L74" s="185">
        <v>0</v>
      </c>
      <c r="M74" s="185" t="s">
        <v>492</v>
      </c>
      <c r="N74" s="186">
        <v>0</v>
      </c>
      <c r="O74" s="186">
        <v>0</v>
      </c>
      <c r="P74" s="186">
        <v>0</v>
      </c>
      <c r="Q74" s="186" t="s">
        <v>492</v>
      </c>
      <c r="R74" s="178"/>
      <c r="S74" s="178"/>
      <c r="T74" s="178"/>
      <c r="U74" s="178"/>
      <c r="V74" s="178"/>
      <c r="W74" s="178"/>
      <c r="X74" s="178"/>
      <c r="Y74" s="178"/>
      <c r="Z74" s="178"/>
      <c r="AA74" s="178"/>
      <c r="AB74" s="178"/>
      <c r="AC74" s="178"/>
      <c r="AD74" s="193"/>
      <c r="AE74" s="193"/>
      <c r="AF74" s="178"/>
      <c r="AG74" s="178" t="s">
        <v>86</v>
      </c>
      <c r="AH74" s="179">
        <v>0.1</v>
      </c>
      <c r="AI74" s="193"/>
      <c r="AJ74" s="178" t="s">
        <v>53</v>
      </c>
      <c r="AK74" s="178">
        <f>+L71*Table13[[#This Row],[Percentage]]</f>
        <v>6247.6010000000006</v>
      </c>
      <c r="AL74" s="220">
        <v>45606</v>
      </c>
      <c r="AM74" s="215">
        <f>(Table13[[#This Row],[Invoice Date]]-Table13[[#This Row],[Month]])/7</f>
        <v>36.571428571428569</v>
      </c>
      <c r="AN74" s="229">
        <v>60</v>
      </c>
      <c r="AO74" s="219">
        <f t="shared" si="28"/>
        <v>45666</v>
      </c>
      <c r="AP74" s="178" t="s">
        <v>53</v>
      </c>
      <c r="AQ74" s="201" t="str">
        <f ca="1">IF(AND(AO74&lt;TODAY(),Table13[[#This Row],[Payment Status]]="Pending"),"Past Due", "OK")</f>
        <v>Past Due</v>
      </c>
    </row>
    <row r="75" spans="1:43">
      <c r="A75" s="173">
        <v>45350</v>
      </c>
      <c r="B75" s="174" t="s">
        <v>63</v>
      </c>
      <c r="C75" s="175" t="s">
        <v>560</v>
      </c>
      <c r="D75" s="174" t="s">
        <v>88</v>
      </c>
      <c r="E75" s="174" t="s">
        <v>89</v>
      </c>
      <c r="F75" s="174" t="s">
        <v>89</v>
      </c>
      <c r="G75" s="176" t="s">
        <v>561</v>
      </c>
      <c r="H75" s="177" t="s">
        <v>108</v>
      </c>
      <c r="I75" s="177" t="s">
        <v>109</v>
      </c>
      <c r="J75" s="177" t="s">
        <v>49</v>
      </c>
      <c r="K75" s="177" t="s">
        <v>68</v>
      </c>
      <c r="L75" s="178">
        <v>312</v>
      </c>
      <c r="M75" s="179">
        <f>Table13[[#This Row],[Quoted Rev]]/Table13[[#This Row],[PO Amount]]</f>
        <v>0.23076923076923078</v>
      </c>
      <c r="N75" s="178">
        <f>+Table13[[#This Row],[PO Amount]]-Table13[[#This Row],[Quoted Cost]]</f>
        <v>72</v>
      </c>
      <c r="O75" s="178">
        <v>240</v>
      </c>
      <c r="P75" s="178">
        <v>240</v>
      </c>
      <c r="Q75" s="178" t="s">
        <v>51</v>
      </c>
      <c r="R75" s="178"/>
      <c r="S75" s="178"/>
      <c r="T75" s="178"/>
      <c r="U75" s="178"/>
      <c r="V75" s="178"/>
      <c r="W75" s="178"/>
      <c r="X75" s="178"/>
      <c r="Y75" s="178"/>
      <c r="Z75" s="178"/>
      <c r="AA75" s="178"/>
      <c r="AB75" s="178"/>
      <c r="AC75" s="178"/>
      <c r="AD75" s="193"/>
      <c r="AE75" s="193"/>
      <c r="AF75" s="178"/>
      <c r="AG75" s="178" t="s">
        <v>52</v>
      </c>
      <c r="AH75" s="179">
        <v>1</v>
      </c>
      <c r="AI75" s="193">
        <v>1076</v>
      </c>
      <c r="AJ75" s="178" t="s">
        <v>93</v>
      </c>
      <c r="AK75" s="178">
        <v>312</v>
      </c>
      <c r="AL75" s="220">
        <v>45359</v>
      </c>
      <c r="AM75" s="215">
        <f>(Table13[[#This Row],[Invoice Date]]-Table13[[#This Row],[Month]])/7</f>
        <v>1.2857142857142858</v>
      </c>
      <c r="AN75" s="229">
        <v>60</v>
      </c>
      <c r="AO75" s="219">
        <v>45398</v>
      </c>
      <c r="AP75" s="178" t="s">
        <v>94</v>
      </c>
      <c r="AQ75" s="201" t="str">
        <f ca="1">IF(AND(AO75&lt;TODAY(),Table13[[#This Row],[Payment Status]]="Pending"),"Past Due", "OK")</f>
        <v>OK</v>
      </c>
    </row>
    <row r="76" spans="1:43">
      <c r="A76" s="173">
        <v>45362</v>
      </c>
      <c r="B76" s="174" t="s">
        <v>44</v>
      </c>
      <c r="C76" s="175" t="s">
        <v>562</v>
      </c>
      <c r="D76" s="174" t="s">
        <v>88</v>
      </c>
      <c r="E76" s="174" t="s">
        <v>89</v>
      </c>
      <c r="F76" s="174" t="s">
        <v>89</v>
      </c>
      <c r="G76" s="176" t="s">
        <v>563</v>
      </c>
      <c r="H76" s="177" t="s">
        <v>564</v>
      </c>
      <c r="I76" s="177" t="s">
        <v>565</v>
      </c>
      <c r="J76" s="177" t="s">
        <v>49</v>
      </c>
      <c r="K76" s="177" t="s">
        <v>101</v>
      </c>
      <c r="L76" s="178">
        <v>7054.02</v>
      </c>
      <c r="M76" s="179">
        <f>Table13[[#This Row],[Quoted Rev]]/Table13[[#This Row],[PO Amount]]</f>
        <v>0</v>
      </c>
      <c r="N76" s="178">
        <v>0</v>
      </c>
      <c r="O76" s="178"/>
      <c r="P76" s="178"/>
      <c r="Q76" s="178" t="s">
        <v>51</v>
      </c>
      <c r="R76" s="178"/>
      <c r="S76" s="178"/>
      <c r="T76" s="178"/>
      <c r="U76" s="178"/>
      <c r="V76" s="178"/>
      <c r="W76" s="178"/>
      <c r="X76" s="178"/>
      <c r="Y76" s="178"/>
      <c r="Z76" s="178"/>
      <c r="AA76" s="178"/>
      <c r="AB76" s="178"/>
      <c r="AC76" s="178"/>
      <c r="AD76" s="193"/>
      <c r="AE76" s="193"/>
      <c r="AF76" s="178"/>
      <c r="AG76" s="178" t="s">
        <v>52</v>
      </c>
      <c r="AH76" s="179">
        <v>1</v>
      </c>
      <c r="AI76" s="193">
        <v>1084</v>
      </c>
      <c r="AJ76" s="178" t="s">
        <v>93</v>
      </c>
      <c r="AK76" s="178">
        <f>+Table13[[#This Row],[PO Amount]]</f>
        <v>7054.02</v>
      </c>
      <c r="AL76" s="220">
        <v>45415</v>
      </c>
      <c r="AM76" s="215">
        <f>(Table13[[#This Row],[Invoice Date]]-Table13[[#This Row],[Month]])/7</f>
        <v>7.5714285714285712</v>
      </c>
      <c r="AN76" s="229">
        <v>45</v>
      </c>
      <c r="AO76" s="219">
        <f t="shared" ref="AO76:AO84" si="29">AL76+AN76</f>
        <v>45460</v>
      </c>
      <c r="AP76" s="178" t="s">
        <v>53</v>
      </c>
      <c r="AQ76" s="201" t="str">
        <f ca="1">IF(AND(AO76&lt;TODAY(),Table13[[#This Row],[Payment Status]]="Pending"),"Past Due", "OK")</f>
        <v>Past Due</v>
      </c>
    </row>
    <row r="77" spans="1:43">
      <c r="A77" s="173">
        <v>45401</v>
      </c>
      <c r="B77" s="174" t="s">
        <v>63</v>
      </c>
      <c r="C77" s="175" t="s">
        <v>566</v>
      </c>
      <c r="D77" s="174" t="s">
        <v>88</v>
      </c>
      <c r="E77" s="174" t="s">
        <v>89</v>
      </c>
      <c r="F77" s="174" t="s">
        <v>89</v>
      </c>
      <c r="G77" s="176" t="s">
        <v>567</v>
      </c>
      <c r="H77" s="177" t="s">
        <v>444</v>
      </c>
      <c r="I77" s="177" t="s">
        <v>138</v>
      </c>
      <c r="J77" s="177" t="s">
        <v>3</v>
      </c>
      <c r="K77" s="177" t="s">
        <v>92</v>
      </c>
      <c r="L77" s="178">
        <v>48471.19</v>
      </c>
      <c r="M77" s="179">
        <f>Table13[[#This Row],[Quoted Rev]]/Table13[[#This Row],[PO Amount]]</f>
        <v>0</v>
      </c>
      <c r="N77" s="178">
        <v>0</v>
      </c>
      <c r="O77" s="178"/>
      <c r="P77" s="178"/>
      <c r="Q77" s="178" t="s">
        <v>51</v>
      </c>
      <c r="R77" s="178"/>
      <c r="S77" s="178"/>
      <c r="T77" s="178"/>
      <c r="U77" s="178"/>
      <c r="V77" s="178"/>
      <c r="W77" s="178"/>
      <c r="X77" s="178"/>
      <c r="Y77" s="178"/>
      <c r="Z77" s="178"/>
      <c r="AA77" s="178"/>
      <c r="AB77" s="178"/>
      <c r="AC77" s="178"/>
      <c r="AD77" s="193"/>
      <c r="AE77" s="193"/>
      <c r="AF77" s="178"/>
      <c r="AG77" s="178" t="s">
        <v>52</v>
      </c>
      <c r="AH77" s="179">
        <v>1</v>
      </c>
      <c r="AI77" s="193"/>
      <c r="AJ77" s="178" t="s">
        <v>93</v>
      </c>
      <c r="AK77" s="178">
        <v>48471.19</v>
      </c>
      <c r="AL77" s="220">
        <v>45452</v>
      </c>
      <c r="AM77" s="215">
        <f>(Table13[[#This Row],[Invoice Date]]-Table13[[#This Row],[Month]])/7</f>
        <v>7.2857142857142856</v>
      </c>
      <c r="AN77" s="229">
        <v>30</v>
      </c>
      <c r="AO77" s="219">
        <f t="shared" si="29"/>
        <v>45482</v>
      </c>
      <c r="AP77" s="178" t="s">
        <v>53</v>
      </c>
      <c r="AQ77" s="201" t="str">
        <f ca="1">IF(AND(AO77&lt;TODAY(),Table13[[#This Row],[Payment Status]]="Pending"),"Past Due", "OK")</f>
        <v>Past Due</v>
      </c>
    </row>
    <row r="78" spans="1:43">
      <c r="A78" s="173">
        <v>45421</v>
      </c>
      <c r="B78" s="174" t="s">
        <v>44</v>
      </c>
      <c r="C78" s="175" t="s">
        <v>568</v>
      </c>
      <c r="D78" s="174" t="s">
        <v>6</v>
      </c>
      <c r="E78" s="174" t="s">
        <v>53</v>
      </c>
      <c r="F78" s="174" t="s">
        <v>53</v>
      </c>
      <c r="G78" s="176" t="s">
        <v>569</v>
      </c>
      <c r="H78" s="177" t="s">
        <v>141</v>
      </c>
      <c r="I78" s="177" t="s">
        <v>142</v>
      </c>
      <c r="J78" s="177" t="s">
        <v>49</v>
      </c>
      <c r="K78" s="177" t="s">
        <v>101</v>
      </c>
      <c r="L78" s="178">
        <v>17877.8</v>
      </c>
      <c r="M78" s="179">
        <f>Table13[[#This Row],[Quoted Rev]]/Table13[[#This Row],[PO Amount]]</f>
        <v>0.31054995581111772</v>
      </c>
      <c r="N78" s="178">
        <v>5551.95</v>
      </c>
      <c r="O78" s="178">
        <f>+Table13[[#This Row],[PO Amount]]-Table13[[#This Row],[Quoted Rev]]</f>
        <v>12325.849999999999</v>
      </c>
      <c r="P78" s="178"/>
      <c r="Q78" s="178" t="s">
        <v>51</v>
      </c>
      <c r="R78" s="178"/>
      <c r="S78" s="178"/>
      <c r="T78" s="178"/>
      <c r="U78" s="178"/>
      <c r="V78" s="178"/>
      <c r="W78" s="178"/>
      <c r="X78" s="178"/>
      <c r="Y78" s="178"/>
      <c r="Z78" s="178"/>
      <c r="AA78" s="178"/>
      <c r="AB78" s="178"/>
      <c r="AC78" s="178"/>
      <c r="AD78" s="193"/>
      <c r="AE78" s="193"/>
      <c r="AF78" s="178"/>
      <c r="AG78" s="178" t="s">
        <v>52</v>
      </c>
      <c r="AH78" s="179">
        <v>1</v>
      </c>
      <c r="AI78" s="193"/>
      <c r="AJ78" s="178" t="s">
        <v>93</v>
      </c>
      <c r="AK78" s="178">
        <v>17877.8</v>
      </c>
      <c r="AL78" s="220">
        <v>45516</v>
      </c>
      <c r="AM78" s="215">
        <f>(Table13[[#This Row],[Invoice Date]]-Table13[[#This Row],[Month]])/7</f>
        <v>13.571428571428571</v>
      </c>
      <c r="AN78" s="229">
        <v>30</v>
      </c>
      <c r="AO78" s="219">
        <f t="shared" si="29"/>
        <v>45546</v>
      </c>
      <c r="AP78" s="178" t="s">
        <v>53</v>
      </c>
      <c r="AQ78" s="201" t="str">
        <f ca="1">IF(AND(AO78&lt;TODAY(),Table13[[#This Row],[Payment Status]]="Pending"),"Past Due", "OK")</f>
        <v>Past Due</v>
      </c>
    </row>
    <row r="79" spans="1:43">
      <c r="A79" s="173">
        <v>45421</v>
      </c>
      <c r="B79" s="174" t="s">
        <v>44</v>
      </c>
      <c r="C79" s="175" t="s">
        <v>570</v>
      </c>
      <c r="D79" s="174" t="s">
        <v>6</v>
      </c>
      <c r="E79" s="174" t="s">
        <v>53</v>
      </c>
      <c r="F79" s="174" t="s">
        <v>53</v>
      </c>
      <c r="G79" s="176" t="s">
        <v>571</v>
      </c>
      <c r="H79" s="177" t="s">
        <v>141</v>
      </c>
      <c r="I79" s="177" t="s">
        <v>142</v>
      </c>
      <c r="J79" s="177" t="s">
        <v>49</v>
      </c>
      <c r="K79" s="177" t="s">
        <v>101</v>
      </c>
      <c r="L79" s="178">
        <v>17877.8</v>
      </c>
      <c r="M79" s="179">
        <f>Table13[[#This Row],[Quoted Rev]]/Table13[[#This Row],[PO Amount]]</f>
        <v>0.31054995581111772</v>
      </c>
      <c r="N79" s="178">
        <v>5551.95</v>
      </c>
      <c r="O79" s="178">
        <f>+Table13[[#This Row],[PO Amount]]-Table13[[#This Row],[Quoted Rev]]</f>
        <v>12325.849999999999</v>
      </c>
      <c r="P79" s="178"/>
      <c r="Q79" s="178" t="s">
        <v>51</v>
      </c>
      <c r="R79" s="178"/>
      <c r="S79" s="178"/>
      <c r="T79" s="178"/>
      <c r="U79" s="178"/>
      <c r="V79" s="178"/>
      <c r="W79" s="178"/>
      <c r="X79" s="178"/>
      <c r="Y79" s="178"/>
      <c r="Z79" s="178"/>
      <c r="AA79" s="178"/>
      <c r="AB79" s="178"/>
      <c r="AC79" s="178"/>
      <c r="AD79" s="193"/>
      <c r="AE79" s="193"/>
      <c r="AF79" s="178"/>
      <c r="AG79" s="178" t="s">
        <v>52</v>
      </c>
      <c r="AH79" s="179">
        <v>1</v>
      </c>
      <c r="AI79" s="193"/>
      <c r="AJ79" s="178" t="s">
        <v>93</v>
      </c>
      <c r="AK79" s="178">
        <v>17877.8</v>
      </c>
      <c r="AL79" s="220">
        <v>45516</v>
      </c>
      <c r="AM79" s="215">
        <f>(Table13[[#This Row],[Invoice Date]]-Table13[[#This Row],[Month]])/7</f>
        <v>13.571428571428571</v>
      </c>
      <c r="AN79" s="229">
        <v>30</v>
      </c>
      <c r="AO79" s="219">
        <f t="shared" si="29"/>
        <v>45546</v>
      </c>
      <c r="AP79" s="178" t="s">
        <v>53</v>
      </c>
      <c r="AQ79" s="201" t="str">
        <f ca="1">IF(AND(AO79&lt;TODAY(),Table13[[#This Row],[Payment Status]]="Pending"),"Past Due", "OK")</f>
        <v>Past Due</v>
      </c>
    </row>
    <row r="80" spans="1:43">
      <c r="A80" s="173">
        <v>45428</v>
      </c>
      <c r="B80" s="174" t="s">
        <v>63</v>
      </c>
      <c r="C80" s="175" t="s">
        <v>572</v>
      </c>
      <c r="D80" s="174" t="s">
        <v>88</v>
      </c>
      <c r="E80" s="174" t="s">
        <v>89</v>
      </c>
      <c r="F80" s="174" t="s">
        <v>89</v>
      </c>
      <c r="G80" s="176" t="s">
        <v>573</v>
      </c>
      <c r="H80" s="177" t="s">
        <v>47</v>
      </c>
      <c r="I80" s="177" t="s">
        <v>574</v>
      </c>
      <c r="J80" s="177" t="s">
        <v>49</v>
      </c>
      <c r="K80" s="177" t="s">
        <v>92</v>
      </c>
      <c r="L80" s="178">
        <v>19433.32</v>
      </c>
      <c r="M80" s="179">
        <f>Table13[[#This Row],[Quoted Rev]]/Table13[[#This Row],[PO Amount]]</f>
        <v>0.44272260221104781</v>
      </c>
      <c r="N80" s="178">
        <v>8603.57</v>
      </c>
      <c r="O80" s="178">
        <f>+Table13[[#This Row],[PO Amount]]-Table13[[#This Row],[Quoted Rev]]</f>
        <v>10829.75</v>
      </c>
      <c r="P80" s="178"/>
      <c r="Q80" s="178" t="s">
        <v>51</v>
      </c>
      <c r="R80" s="178"/>
      <c r="S80" s="178"/>
      <c r="T80" s="178"/>
      <c r="U80" s="178"/>
      <c r="V80" s="178"/>
      <c r="W80" s="178"/>
      <c r="X80" s="178"/>
      <c r="Y80" s="178"/>
      <c r="Z80" s="178"/>
      <c r="AA80" s="178"/>
      <c r="AB80" s="178"/>
      <c r="AC80" s="178"/>
      <c r="AD80" s="193"/>
      <c r="AE80" s="193"/>
      <c r="AF80" s="178"/>
      <c r="AG80" s="178" t="s">
        <v>52</v>
      </c>
      <c r="AH80" s="179">
        <v>1</v>
      </c>
      <c r="AI80" s="193"/>
      <c r="AJ80" s="178" t="s">
        <v>93</v>
      </c>
      <c r="AK80" s="178">
        <f>+Table13[[#This Row],[PO Amount]]</f>
        <v>19433.32</v>
      </c>
      <c r="AL80" s="220">
        <v>45493</v>
      </c>
      <c r="AM80" s="215">
        <f>(Table13[[#This Row],[Invoice Date]]-Table13[[#This Row],[Month]])/7</f>
        <v>9.2857142857142865</v>
      </c>
      <c r="AN80" s="229">
        <v>30</v>
      </c>
      <c r="AO80" s="219">
        <f t="shared" si="29"/>
        <v>45523</v>
      </c>
      <c r="AP80" s="178" t="s">
        <v>53</v>
      </c>
      <c r="AQ80" s="201" t="str">
        <f ca="1">IF(AND(AO80&lt;TODAY(),Table13[[#This Row],[Payment Status]]="Pending"),"Past Due", "OK")</f>
        <v>Past Due</v>
      </c>
    </row>
    <row r="81" spans="1:43">
      <c r="A81" s="173">
        <v>45432</v>
      </c>
      <c r="B81" s="174" t="s">
        <v>191</v>
      </c>
      <c r="C81" s="175" t="s">
        <v>575</v>
      </c>
      <c r="D81" s="174" t="s">
        <v>88</v>
      </c>
      <c r="E81" s="174" t="s">
        <v>89</v>
      </c>
      <c r="F81" s="174" t="s">
        <v>89</v>
      </c>
      <c r="G81" s="176" t="s">
        <v>576</v>
      </c>
      <c r="H81" s="177" t="s">
        <v>577</v>
      </c>
      <c r="I81" s="177" t="s">
        <v>578</v>
      </c>
      <c r="J81" s="177" t="s">
        <v>49</v>
      </c>
      <c r="K81" s="177"/>
      <c r="L81" s="178">
        <v>532.52</v>
      </c>
      <c r="M81" s="179">
        <f>Table13[[#This Row],[Quoted Rev]]/Table13[[#This Row],[PO Amount]]</f>
        <v>0.17182453241192819</v>
      </c>
      <c r="N81" s="178">
        <v>91.5</v>
      </c>
      <c r="O81" s="178">
        <f>+Table13[[#This Row],[PO Amount]]-Table13[[#This Row],[PROFIT]]</f>
        <v>441.02</v>
      </c>
      <c r="P81" s="178"/>
      <c r="Q81" s="178" t="s">
        <v>51</v>
      </c>
      <c r="R81" s="178">
        <v>91.5</v>
      </c>
      <c r="S81" s="179">
        <f>+Table13[[#This Row],[PROFIT]]/Table13[[#This Row],[PO Amount]]</f>
        <v>0.17182453241192819</v>
      </c>
      <c r="T81" s="178" t="s">
        <v>498</v>
      </c>
      <c r="U81" s="178"/>
      <c r="V81" s="178"/>
      <c r="W81" s="178"/>
      <c r="X81" s="178"/>
      <c r="Y81" s="178"/>
      <c r="Z81" s="178"/>
      <c r="AA81" s="178"/>
      <c r="AB81" s="178"/>
      <c r="AC81" s="178"/>
      <c r="AD81" s="193"/>
      <c r="AE81" s="193"/>
      <c r="AF81" s="178"/>
      <c r="AG81" s="178" t="s">
        <v>52</v>
      </c>
      <c r="AH81" s="179">
        <v>1</v>
      </c>
      <c r="AI81" s="193"/>
      <c r="AJ81" s="178" t="s">
        <v>93</v>
      </c>
      <c r="AK81" s="178">
        <f>+Table13[[#This Row],[PO Amount]]</f>
        <v>532.52</v>
      </c>
      <c r="AL81" s="220">
        <v>45449</v>
      </c>
      <c r="AM81" s="215">
        <f>(Table13[[#This Row],[Invoice Date]]-Table13[[#This Row],[Month]])/7</f>
        <v>2.4285714285714284</v>
      </c>
      <c r="AN81" s="229">
        <v>30</v>
      </c>
      <c r="AO81" s="219">
        <f t="shared" si="29"/>
        <v>45479</v>
      </c>
      <c r="AP81" s="178" t="s">
        <v>53</v>
      </c>
      <c r="AQ81" s="201" t="str">
        <f ca="1">IF(AND(AO81&lt;TODAY(),Table13[[#This Row],[Payment Status]]="Pending"),"Past Due", "OK")</f>
        <v>Past Due</v>
      </c>
    </row>
    <row r="82" spans="1:43">
      <c r="A82" s="173">
        <v>45429</v>
      </c>
      <c r="B82" s="174" t="s">
        <v>44</v>
      </c>
      <c r="C82" s="175" t="s">
        <v>579</v>
      </c>
      <c r="D82" s="174" t="s">
        <v>6</v>
      </c>
      <c r="E82" s="174" t="s">
        <v>53</v>
      </c>
      <c r="F82" s="174" t="s">
        <v>53</v>
      </c>
      <c r="G82" s="176" t="s">
        <v>580</v>
      </c>
      <c r="H82" s="177" t="s">
        <v>47</v>
      </c>
      <c r="I82" s="177" t="s">
        <v>293</v>
      </c>
      <c r="J82" s="177" t="s">
        <v>49</v>
      </c>
      <c r="K82" s="177" t="s">
        <v>101</v>
      </c>
      <c r="L82" s="178">
        <v>11290.92</v>
      </c>
      <c r="M82" s="179">
        <f>Table13[[#This Row],[Quoted Rev]]/Table13[[#This Row],[PO Amount]]</f>
        <v>0.33659790344808038</v>
      </c>
      <c r="N82" s="178">
        <v>3800.5</v>
      </c>
      <c r="O82" s="178">
        <f>+Table13[[#This Row],[PO Amount]]-Table13[[#This Row],[PROFIT]]</f>
        <v>11290.92</v>
      </c>
      <c r="P82" s="178"/>
      <c r="Q82" s="178" t="s">
        <v>51</v>
      </c>
      <c r="R82" s="178"/>
      <c r="S82" s="178"/>
      <c r="T82" s="178"/>
      <c r="U82" s="178"/>
      <c r="V82" s="178"/>
      <c r="W82" s="178"/>
      <c r="X82" s="178"/>
      <c r="Y82" s="178"/>
      <c r="Z82" s="178"/>
      <c r="AA82" s="178"/>
      <c r="AB82" s="178"/>
      <c r="AC82" s="178"/>
      <c r="AD82" s="193"/>
      <c r="AE82" s="193"/>
      <c r="AF82" s="178"/>
      <c r="AG82" s="178" t="s">
        <v>52</v>
      </c>
      <c r="AH82" s="179">
        <v>1</v>
      </c>
      <c r="AI82" s="193"/>
      <c r="AJ82" s="178" t="s">
        <v>53</v>
      </c>
      <c r="AK82" s="178">
        <f>+Table13[[#This Row],[PO Amount]]</f>
        <v>11290.92</v>
      </c>
      <c r="AL82" s="220">
        <v>45550</v>
      </c>
      <c r="AM82" s="215">
        <f>(Table13[[#This Row],[Invoice Date]]-Table13[[#This Row],[Month]])/7</f>
        <v>17.285714285714285</v>
      </c>
      <c r="AN82" s="229">
        <v>30</v>
      </c>
      <c r="AO82" s="219">
        <f t="shared" si="29"/>
        <v>45580</v>
      </c>
      <c r="AP82" s="178" t="s">
        <v>53</v>
      </c>
      <c r="AQ82" s="201" t="str">
        <f ca="1">IF(AND(AO82&lt;TODAY(),Table13[[#This Row],[Payment Status]]="Pending"),"Past Due", "OK")</f>
        <v>Past Due</v>
      </c>
    </row>
    <row r="83" spans="1:43">
      <c r="A83" s="173">
        <v>45455</v>
      </c>
      <c r="B83" s="174" t="s">
        <v>191</v>
      </c>
      <c r="C83" s="195"/>
      <c r="D83" s="174" t="s">
        <v>88</v>
      </c>
      <c r="E83" s="174" t="s">
        <v>89</v>
      </c>
      <c r="F83" s="174" t="s">
        <v>89</v>
      </c>
      <c r="G83" s="176" t="s">
        <v>576</v>
      </c>
      <c r="H83" s="177" t="s">
        <v>577</v>
      </c>
      <c r="I83" s="177" t="s">
        <v>578</v>
      </c>
      <c r="J83" s="177" t="s">
        <v>49</v>
      </c>
      <c r="K83" s="177"/>
      <c r="L83" s="178">
        <v>532.52</v>
      </c>
      <c r="M83" s="179">
        <f>Table13[[#This Row],[Quoted Rev]]/Table13[[#This Row],[PO Amount]]</f>
        <v>0.17182453241192819</v>
      </c>
      <c r="N83" s="178">
        <v>91.5</v>
      </c>
      <c r="O83" s="178">
        <f>+Table13[[#This Row],[PO Amount]]-Table13[[#This Row],[Quoted Rev]]</f>
        <v>441.02</v>
      </c>
      <c r="P83" s="178"/>
      <c r="Q83" s="178" t="s">
        <v>51</v>
      </c>
      <c r="R83" s="178"/>
      <c r="S83" s="179"/>
      <c r="T83" s="178"/>
      <c r="U83" s="178"/>
      <c r="V83" s="178"/>
      <c r="W83" s="178"/>
      <c r="X83" s="178"/>
      <c r="Y83" s="178"/>
      <c r="Z83" s="178"/>
      <c r="AA83" s="178"/>
      <c r="AB83" s="178"/>
      <c r="AC83" s="178"/>
      <c r="AD83" s="193"/>
      <c r="AE83" s="193"/>
      <c r="AF83" s="178"/>
      <c r="AG83" s="178" t="s">
        <v>52</v>
      </c>
      <c r="AH83" s="179">
        <v>1</v>
      </c>
      <c r="AI83" s="193">
        <v>1090</v>
      </c>
      <c r="AJ83" s="178" t="s">
        <v>93</v>
      </c>
      <c r="AK83" s="178">
        <f>+Table13[[#This Row],[PO Amount]]</f>
        <v>532.52</v>
      </c>
      <c r="AL83" s="220">
        <v>45464</v>
      </c>
      <c r="AM83" s="215">
        <f>(Table13[[#This Row],[Invoice Date]]-Table13[[#This Row],[Month]])/7</f>
        <v>1.2857142857142858</v>
      </c>
      <c r="AN83" s="229">
        <v>30</v>
      </c>
      <c r="AO83" s="219">
        <f t="shared" si="29"/>
        <v>45494</v>
      </c>
      <c r="AP83" s="178" t="s">
        <v>53</v>
      </c>
      <c r="AQ83" s="201" t="str">
        <f ca="1">IF(AND(AO83&lt;TODAY(),Table13[[#This Row],[Payment Status]]="Pending"),"Past Due", "OK")</f>
        <v>Past Due</v>
      </c>
    </row>
    <row r="84" spans="1:43">
      <c r="A84" s="173">
        <v>45457</v>
      </c>
      <c r="B84" s="174" t="s">
        <v>63</v>
      </c>
      <c r="C84" s="175" t="s">
        <v>87</v>
      </c>
      <c r="D84" s="174" t="s">
        <v>88</v>
      </c>
      <c r="E84" s="174" t="s">
        <v>89</v>
      </c>
      <c r="F84" s="174" t="s">
        <v>89</v>
      </c>
      <c r="G84" s="176" t="s">
        <v>90</v>
      </c>
      <c r="H84" s="177" t="s">
        <v>47</v>
      </c>
      <c r="I84" s="177" t="s">
        <v>91</v>
      </c>
      <c r="J84" s="177" t="s">
        <v>49</v>
      </c>
      <c r="K84" s="177" t="s">
        <v>92</v>
      </c>
      <c r="L84" s="178">
        <v>28722</v>
      </c>
      <c r="M84" s="179">
        <f>Table13[[#This Row],[Quoted Rev]]/Table13[[#This Row],[PO Amount]]</f>
        <v>0.34617645010793119</v>
      </c>
      <c r="N84" s="178">
        <v>9942.8799999999992</v>
      </c>
      <c r="O84" s="178">
        <f>+Table13[[#This Row],[PO Amount]]-Table13[[#This Row],[Quoted Rev]]</f>
        <v>18779.120000000003</v>
      </c>
      <c r="P84" s="178"/>
      <c r="Q84" s="178" t="s">
        <v>51</v>
      </c>
      <c r="R84" s="178"/>
      <c r="S84" s="178"/>
      <c r="T84" s="178"/>
      <c r="U84" s="178"/>
      <c r="V84" s="178"/>
      <c r="W84" s="178"/>
      <c r="X84" s="178"/>
      <c r="Y84" s="178"/>
      <c r="Z84" s="178"/>
      <c r="AA84" s="178"/>
      <c r="AB84" s="178"/>
      <c r="AC84" s="178"/>
      <c r="AD84" s="193"/>
      <c r="AE84" s="193"/>
      <c r="AF84" s="178"/>
      <c r="AG84" s="178" t="s">
        <v>52</v>
      </c>
      <c r="AH84" s="179">
        <v>1</v>
      </c>
      <c r="AI84" s="193"/>
      <c r="AJ84" s="178" t="s">
        <v>53</v>
      </c>
      <c r="AK84" s="178">
        <f>+Table13[[#This Row],[PO Amount]]</f>
        <v>28722</v>
      </c>
      <c r="AL84" s="220">
        <v>45555</v>
      </c>
      <c r="AM84" s="215">
        <f>(Table13[[#This Row],[Invoice Date]]-Table13[[#This Row],[Month]])/7</f>
        <v>14</v>
      </c>
      <c r="AN84" s="229">
        <v>30</v>
      </c>
      <c r="AO84" s="219">
        <f t="shared" si="29"/>
        <v>45585</v>
      </c>
      <c r="AP84" s="178" t="s">
        <v>53</v>
      </c>
      <c r="AQ84" s="201" t="str">
        <f ca="1">IF(AND(AO84&lt;TODAY(),Table13[[#This Row],[Payment Status]]="Pending"),"Past Due", "OK")</f>
        <v>Past Due</v>
      </c>
    </row>
    <row r="85" spans="1:43">
      <c r="A85" s="173">
        <v>45467</v>
      </c>
      <c r="B85" s="174" t="s">
        <v>63</v>
      </c>
      <c r="C85" s="175" t="s">
        <v>581</v>
      </c>
      <c r="D85" s="174" t="s">
        <v>88</v>
      </c>
      <c r="E85" s="174" t="s">
        <v>89</v>
      </c>
      <c r="F85" s="174" t="s">
        <v>89</v>
      </c>
      <c r="G85" s="176" t="s">
        <v>582</v>
      </c>
      <c r="H85" s="177" t="s">
        <v>108</v>
      </c>
      <c r="I85" s="177" t="s">
        <v>109</v>
      </c>
      <c r="J85" s="177" t="s">
        <v>49</v>
      </c>
      <c r="K85" s="177" t="s">
        <v>68</v>
      </c>
      <c r="L85" s="178">
        <v>2206</v>
      </c>
      <c r="M85" s="178"/>
      <c r="N85" s="178"/>
      <c r="O85" s="178"/>
      <c r="P85" s="178"/>
      <c r="Q85" s="178"/>
      <c r="R85" s="178"/>
      <c r="S85" s="178"/>
      <c r="T85" s="178"/>
      <c r="U85" s="178"/>
      <c r="V85" s="178"/>
      <c r="W85" s="178"/>
      <c r="X85" s="178"/>
      <c r="Y85" s="178"/>
      <c r="Z85" s="178"/>
      <c r="AA85" s="178"/>
      <c r="AB85" s="178"/>
      <c r="AC85" s="178"/>
      <c r="AD85" s="193"/>
      <c r="AE85" s="193"/>
      <c r="AF85" s="178"/>
      <c r="AG85" s="178" t="s">
        <v>52</v>
      </c>
      <c r="AH85" s="179">
        <v>1</v>
      </c>
      <c r="AI85" s="193"/>
      <c r="AJ85" s="178" t="s">
        <v>93</v>
      </c>
      <c r="AK85" s="178">
        <v>2206</v>
      </c>
      <c r="AL85" s="220">
        <v>45488</v>
      </c>
      <c r="AM85" s="220"/>
      <c r="AN85" s="229">
        <v>30</v>
      </c>
      <c r="AO85" s="178"/>
      <c r="AP85" s="178" t="s">
        <v>53</v>
      </c>
      <c r="AQ85" s="178"/>
    </row>
    <row r="86" spans="1:43">
      <c r="A86" s="173">
        <v>45476</v>
      </c>
      <c r="B86" s="174" t="s">
        <v>63</v>
      </c>
      <c r="C86" s="175" t="s">
        <v>583</v>
      </c>
      <c r="D86" s="174"/>
      <c r="E86" s="174"/>
      <c r="F86" s="174"/>
      <c r="G86" s="176" t="s">
        <v>584</v>
      </c>
      <c r="H86" s="177" t="s">
        <v>381</v>
      </c>
      <c r="I86" s="177" t="s">
        <v>179</v>
      </c>
      <c r="J86" s="177" t="s">
        <v>3</v>
      </c>
      <c r="K86" s="177" t="s">
        <v>92</v>
      </c>
      <c r="L86" s="178">
        <v>59981</v>
      </c>
      <c r="M86" s="178"/>
      <c r="N86" s="178"/>
      <c r="O86" s="178"/>
      <c r="P86" s="178"/>
      <c r="Q86" s="178"/>
      <c r="R86" s="178"/>
      <c r="S86" s="178"/>
      <c r="T86" s="178"/>
      <c r="U86" s="178"/>
      <c r="V86" s="178"/>
      <c r="W86" s="178"/>
      <c r="X86" s="178"/>
      <c r="Y86" s="178"/>
      <c r="Z86" s="178"/>
      <c r="AA86" s="178"/>
      <c r="AB86" s="178"/>
      <c r="AC86" s="178"/>
      <c r="AD86" s="193"/>
      <c r="AE86" s="193"/>
      <c r="AF86" s="178"/>
      <c r="AG86" s="178" t="s">
        <v>98</v>
      </c>
      <c r="AH86" s="179">
        <v>0.3</v>
      </c>
      <c r="AI86" s="193"/>
      <c r="AJ86" s="178" t="s">
        <v>93</v>
      </c>
      <c r="AK86" s="178">
        <f>+Table13[[#This Row],[PO Amount]]*0.3</f>
        <v>17994.3</v>
      </c>
      <c r="AL86" s="220">
        <v>45476</v>
      </c>
      <c r="AM86" s="220"/>
      <c r="AN86" s="229">
        <v>30</v>
      </c>
      <c r="AO86" s="240"/>
      <c r="AP86" s="178" t="s">
        <v>53</v>
      </c>
      <c r="AQ86" s="178"/>
    </row>
    <row r="87" spans="1:43">
      <c r="A87" s="173">
        <v>45476</v>
      </c>
      <c r="B87" s="174" t="s">
        <v>63</v>
      </c>
      <c r="C87" s="175" t="s">
        <v>583</v>
      </c>
      <c r="D87" s="174"/>
      <c r="E87" s="174"/>
      <c r="F87" s="174"/>
      <c r="G87" s="176" t="s">
        <v>584</v>
      </c>
      <c r="H87" s="177" t="s">
        <v>381</v>
      </c>
      <c r="I87" s="177" t="s">
        <v>179</v>
      </c>
      <c r="J87" s="177" t="s">
        <v>3</v>
      </c>
      <c r="K87" s="177" t="s">
        <v>92</v>
      </c>
      <c r="L87" s="185">
        <v>0</v>
      </c>
      <c r="M87" s="185" t="s">
        <v>492</v>
      </c>
      <c r="N87" s="186">
        <v>0</v>
      </c>
      <c r="O87" s="186">
        <v>0</v>
      </c>
      <c r="P87" s="186">
        <v>0</v>
      </c>
      <c r="Q87" s="186" t="s">
        <v>492</v>
      </c>
      <c r="R87" s="178"/>
      <c r="S87" s="178"/>
      <c r="T87" s="178"/>
      <c r="U87" s="178"/>
      <c r="V87" s="178"/>
      <c r="W87" s="178"/>
      <c r="X87" s="178"/>
      <c r="Y87" s="178"/>
      <c r="Z87" s="178"/>
      <c r="AA87" s="178"/>
      <c r="AB87" s="178"/>
      <c r="AC87" s="178"/>
      <c r="AD87" s="193"/>
      <c r="AE87" s="193"/>
      <c r="AF87" s="178"/>
      <c r="AG87" s="178" t="s">
        <v>52</v>
      </c>
      <c r="AH87" s="179">
        <v>0.7</v>
      </c>
      <c r="AI87" s="193"/>
      <c r="AJ87" s="178" t="s">
        <v>93</v>
      </c>
      <c r="AK87" s="178">
        <f>+L86*0.7</f>
        <v>41986.7</v>
      </c>
      <c r="AL87" s="220">
        <v>45535</v>
      </c>
      <c r="AM87" s="215">
        <f>(Table13[[#This Row],[Invoice Date]]-Table13[[#This Row],[Month]])/7</f>
        <v>8.4285714285714288</v>
      </c>
      <c r="AN87" s="229">
        <v>30</v>
      </c>
      <c r="AO87" s="219">
        <f t="shared" ref="AO87" si="30">AL87+AN87</f>
        <v>45565</v>
      </c>
      <c r="AP87" s="178" t="s">
        <v>53</v>
      </c>
      <c r="AQ87" s="201" t="str">
        <f ca="1">IF(AND(AO87&lt;TODAY(),Table13[[#This Row],[Payment Status]]="Pending"),"Past Due", "OK")</f>
        <v>Past Due</v>
      </c>
    </row>
    <row r="88" spans="1:43">
      <c r="A88" s="173">
        <v>45495</v>
      </c>
      <c r="B88" s="174" t="s">
        <v>63</v>
      </c>
      <c r="C88" s="175" t="s">
        <v>585</v>
      </c>
      <c r="D88" s="174"/>
      <c r="E88" s="174"/>
      <c r="F88" s="174"/>
      <c r="G88" s="176" t="s">
        <v>586</v>
      </c>
      <c r="H88" s="177" t="s">
        <v>381</v>
      </c>
      <c r="I88" s="177" t="s">
        <v>179</v>
      </c>
      <c r="J88" s="177" t="s">
        <v>3</v>
      </c>
      <c r="K88" s="177" t="s">
        <v>68</v>
      </c>
      <c r="L88" s="178">
        <v>49469.89</v>
      </c>
      <c r="M88" s="179">
        <f>Table13[[#This Row],[Quoted Rev]]/Table13[[#This Row],[PO Amount]]</f>
        <v>0.38872049240457174</v>
      </c>
      <c r="N88" s="178">
        <v>19229.96</v>
      </c>
      <c r="O88" s="178">
        <f>+Table13[[#This Row],[PO Amount]]-Table13[[#This Row],[Quoted Rev]]</f>
        <v>30239.93</v>
      </c>
      <c r="P88" s="178"/>
      <c r="Q88" s="178"/>
      <c r="R88" s="178"/>
      <c r="S88" s="178"/>
      <c r="T88" s="178"/>
      <c r="U88" s="178"/>
      <c r="V88" s="178"/>
      <c r="W88" s="178"/>
      <c r="X88" s="178"/>
      <c r="Y88" s="178"/>
      <c r="Z88" s="178"/>
      <c r="AA88" s="178"/>
      <c r="AB88" s="178"/>
      <c r="AC88" s="178"/>
      <c r="AD88" s="193"/>
      <c r="AE88" s="193"/>
      <c r="AF88" s="178"/>
      <c r="AG88" s="178" t="s">
        <v>98</v>
      </c>
      <c r="AH88" s="179">
        <v>0.3</v>
      </c>
      <c r="AI88" s="193"/>
      <c r="AJ88" s="178" t="s">
        <v>93</v>
      </c>
      <c r="AK88" s="178">
        <f>+Table13[[#This Row],[PO Amount]]*0.3</f>
        <v>14840.966999999999</v>
      </c>
      <c r="AL88" s="220">
        <v>45495</v>
      </c>
      <c r="AM88" s="220"/>
      <c r="AN88" s="229">
        <v>30</v>
      </c>
      <c r="AO88" s="178"/>
      <c r="AP88" s="178" t="s">
        <v>53</v>
      </c>
      <c r="AQ88" s="178"/>
    </row>
    <row r="89" spans="1:43">
      <c r="A89" s="173">
        <v>45495</v>
      </c>
      <c r="B89" s="174" t="s">
        <v>63</v>
      </c>
      <c r="C89" s="175" t="s">
        <v>585</v>
      </c>
      <c r="D89" s="174"/>
      <c r="E89" s="174"/>
      <c r="F89" s="174"/>
      <c r="G89" s="176" t="s">
        <v>586</v>
      </c>
      <c r="H89" s="177" t="s">
        <v>381</v>
      </c>
      <c r="I89" s="177" t="s">
        <v>179</v>
      </c>
      <c r="J89" s="177" t="s">
        <v>3</v>
      </c>
      <c r="K89" s="177" t="s">
        <v>68</v>
      </c>
      <c r="L89" s="185">
        <v>0</v>
      </c>
      <c r="M89" s="185" t="s">
        <v>492</v>
      </c>
      <c r="N89" s="186">
        <v>0</v>
      </c>
      <c r="O89" s="186">
        <v>0</v>
      </c>
      <c r="P89" s="186">
        <v>0</v>
      </c>
      <c r="Q89" s="186" t="s">
        <v>492</v>
      </c>
      <c r="R89" s="178"/>
      <c r="S89" s="178"/>
      <c r="T89" s="178"/>
      <c r="U89" s="178"/>
      <c r="V89" s="178"/>
      <c r="W89" s="178"/>
      <c r="X89" s="178"/>
      <c r="Y89" s="178"/>
      <c r="Z89" s="178"/>
      <c r="AA89" s="178"/>
      <c r="AB89" s="178"/>
      <c r="AC89" s="178"/>
      <c r="AD89" s="193"/>
      <c r="AE89" s="193"/>
      <c r="AF89" s="178"/>
      <c r="AG89" s="178" t="s">
        <v>52</v>
      </c>
      <c r="AH89" s="179">
        <v>0.7</v>
      </c>
      <c r="AI89" s="193"/>
      <c r="AJ89" s="178" t="s">
        <v>53</v>
      </c>
      <c r="AK89" s="178">
        <f>+L88*0.7</f>
        <v>34628.922999999995</v>
      </c>
      <c r="AL89" s="220">
        <v>45550</v>
      </c>
      <c r="AM89" s="215">
        <f>(Table13[[#This Row],[Invoice Date]]-Table13[[#This Row],[Month]])/7</f>
        <v>7.8571428571428568</v>
      </c>
      <c r="AN89" s="229">
        <v>30</v>
      </c>
      <c r="AO89" s="219">
        <f t="shared" ref="AO89" si="31">AL89+AN89</f>
        <v>45580</v>
      </c>
      <c r="AP89" s="178" t="s">
        <v>53</v>
      </c>
      <c r="AQ89" s="201" t="str">
        <f ca="1">IF(AND(AO89&lt;TODAY(),Table13[[#This Row],[Payment Status]]="Pending"),"Past Due", "OK")</f>
        <v>Past Due</v>
      </c>
    </row>
    <row r="90" spans="1:43">
      <c r="A90" s="173">
        <v>45495</v>
      </c>
      <c r="B90" s="174" t="s">
        <v>63</v>
      </c>
      <c r="C90" s="175" t="s">
        <v>587</v>
      </c>
      <c r="D90" s="174"/>
      <c r="E90" s="174"/>
      <c r="F90" s="174"/>
      <c r="G90" s="176" t="s">
        <v>588</v>
      </c>
      <c r="H90" s="177" t="s">
        <v>381</v>
      </c>
      <c r="I90" s="177" t="s">
        <v>179</v>
      </c>
      <c r="J90" s="177" t="s">
        <v>3</v>
      </c>
      <c r="K90" s="177" t="s">
        <v>68</v>
      </c>
      <c r="L90" s="178">
        <v>56968.1</v>
      </c>
      <c r="M90" s="179">
        <f>Table13[[#This Row],[Quoted Rev]]/Table13[[#This Row],[PO Amount]]</f>
        <v>0.35494654025674022</v>
      </c>
      <c r="N90" s="178">
        <v>20220.63</v>
      </c>
      <c r="O90" s="178">
        <f>+Table13[[#This Row],[PO Amount]]-Table13[[#This Row],[Quoted Rev]]</f>
        <v>36747.47</v>
      </c>
      <c r="P90" s="178"/>
      <c r="Q90" s="178"/>
      <c r="R90" s="178"/>
      <c r="S90" s="178"/>
      <c r="T90" s="178"/>
      <c r="U90" s="178"/>
      <c r="V90" s="178"/>
      <c r="W90" s="178"/>
      <c r="X90" s="178"/>
      <c r="Y90" s="178"/>
      <c r="Z90" s="178"/>
      <c r="AA90" s="178"/>
      <c r="AB90" s="178"/>
      <c r="AC90" s="178"/>
      <c r="AD90" s="193"/>
      <c r="AE90" s="193"/>
      <c r="AF90" s="178"/>
      <c r="AG90" s="178" t="s">
        <v>98</v>
      </c>
      <c r="AH90" s="179">
        <v>0.3</v>
      </c>
      <c r="AI90" s="193"/>
      <c r="AJ90" s="178" t="s">
        <v>93</v>
      </c>
      <c r="AK90" s="178">
        <f>+Table13[[#This Row],[PO Amount]]*0.3</f>
        <v>17090.43</v>
      </c>
      <c r="AL90" s="220">
        <v>45495</v>
      </c>
      <c r="AM90" s="220"/>
      <c r="AN90" s="229">
        <v>30</v>
      </c>
      <c r="AO90" s="178"/>
      <c r="AP90" s="178" t="s">
        <v>53</v>
      </c>
      <c r="AQ90" s="178"/>
    </row>
    <row r="91" spans="1:43">
      <c r="A91" s="173">
        <v>45495</v>
      </c>
      <c r="B91" s="174" t="s">
        <v>63</v>
      </c>
      <c r="C91" s="175" t="s">
        <v>587</v>
      </c>
      <c r="D91" s="174"/>
      <c r="E91" s="174"/>
      <c r="F91" s="174"/>
      <c r="G91" s="176" t="s">
        <v>588</v>
      </c>
      <c r="H91" s="177" t="s">
        <v>381</v>
      </c>
      <c r="I91" s="177" t="s">
        <v>179</v>
      </c>
      <c r="J91" s="177" t="s">
        <v>3</v>
      </c>
      <c r="K91" s="177" t="s">
        <v>68</v>
      </c>
      <c r="L91" s="185">
        <v>0</v>
      </c>
      <c r="M91" s="185" t="s">
        <v>492</v>
      </c>
      <c r="N91" s="186">
        <v>0</v>
      </c>
      <c r="O91" s="186">
        <v>0</v>
      </c>
      <c r="P91" s="186">
        <v>0</v>
      </c>
      <c r="Q91" s="186" t="s">
        <v>492</v>
      </c>
      <c r="R91" s="178"/>
      <c r="S91" s="178"/>
      <c r="T91" s="178"/>
      <c r="U91" s="178"/>
      <c r="V91" s="178"/>
      <c r="W91" s="178"/>
      <c r="X91" s="178"/>
      <c r="Y91" s="178"/>
      <c r="Z91" s="178"/>
      <c r="AA91" s="178"/>
      <c r="AB91" s="178"/>
      <c r="AC91" s="178"/>
      <c r="AD91" s="193"/>
      <c r="AE91" s="193"/>
      <c r="AF91" s="178"/>
      <c r="AG91" s="178" t="s">
        <v>52</v>
      </c>
      <c r="AH91" s="179">
        <v>0.7</v>
      </c>
      <c r="AI91" s="193"/>
      <c r="AJ91" s="178" t="s">
        <v>53</v>
      </c>
      <c r="AK91" s="178">
        <f>+L90*0.7</f>
        <v>39877.67</v>
      </c>
      <c r="AL91" s="220">
        <v>45550</v>
      </c>
      <c r="AM91" s="215">
        <f>(Table13[[#This Row],[Invoice Date]]-Table13[[#This Row],[Month]])/7</f>
        <v>7.8571428571428568</v>
      </c>
      <c r="AN91" s="229">
        <v>30</v>
      </c>
      <c r="AO91" s="219">
        <f t="shared" ref="AO91" si="32">AL91+AN91</f>
        <v>45580</v>
      </c>
      <c r="AP91" s="178" t="s">
        <v>53</v>
      </c>
      <c r="AQ91" s="201" t="str">
        <f ca="1">IF(AND(AO91&lt;TODAY(),Table13[[#This Row],[Payment Status]]="Pending"),"Past Due", "OK")</f>
        <v>Past Due</v>
      </c>
    </row>
    <row r="92" spans="1:43">
      <c r="A92" s="173">
        <v>45498</v>
      </c>
      <c r="B92" s="174" t="s">
        <v>63</v>
      </c>
      <c r="C92" s="175" t="s">
        <v>589</v>
      </c>
      <c r="D92" s="174"/>
      <c r="E92" s="174"/>
      <c r="F92" s="174"/>
      <c r="G92" s="176" t="s">
        <v>590</v>
      </c>
      <c r="H92" s="177" t="s">
        <v>381</v>
      </c>
      <c r="I92" s="177" t="s">
        <v>179</v>
      </c>
      <c r="J92" s="177" t="s">
        <v>3</v>
      </c>
      <c r="K92" s="177" t="s">
        <v>92</v>
      </c>
      <c r="L92" s="178">
        <v>48854.77</v>
      </c>
      <c r="M92" s="179">
        <f>Table13[[#This Row],[Quoted Rev]]/Table13[[#This Row],[PO Amount]]</f>
        <v>0.37813175663297571</v>
      </c>
      <c r="N92" s="178">
        <v>18473.54</v>
      </c>
      <c r="O92" s="178">
        <f>+Table13[[#This Row],[PO Amount]]-Table13[[#This Row],[Quoted Rev]]</f>
        <v>30381.229999999996</v>
      </c>
      <c r="P92" s="178"/>
      <c r="Q92" s="178"/>
      <c r="R92" s="178"/>
      <c r="S92" s="178"/>
      <c r="T92" s="178"/>
      <c r="U92" s="178"/>
      <c r="V92" s="178"/>
      <c r="W92" s="178"/>
      <c r="X92" s="178"/>
      <c r="Y92" s="178"/>
      <c r="Z92" s="178"/>
      <c r="AA92" s="178"/>
      <c r="AB92" s="178"/>
      <c r="AC92" s="178"/>
      <c r="AD92" s="193"/>
      <c r="AE92" s="193"/>
      <c r="AF92" s="178"/>
      <c r="AG92" s="178" t="s">
        <v>98</v>
      </c>
      <c r="AH92" s="179">
        <v>0.3</v>
      </c>
      <c r="AI92" s="193"/>
      <c r="AJ92" s="178" t="s">
        <v>93</v>
      </c>
      <c r="AK92" s="178">
        <f>+Table13[[#This Row],[PO Amount]]*0.3</f>
        <v>14656.430999999999</v>
      </c>
      <c r="AL92" s="220">
        <v>45498</v>
      </c>
      <c r="AM92" s="220"/>
      <c r="AN92" s="229">
        <v>30</v>
      </c>
      <c r="AO92" s="178"/>
      <c r="AP92" s="178" t="s">
        <v>53</v>
      </c>
      <c r="AQ92" s="178"/>
    </row>
    <row r="93" spans="1:43">
      <c r="A93" s="173">
        <v>45498</v>
      </c>
      <c r="B93" s="174" t="s">
        <v>63</v>
      </c>
      <c r="C93" s="175" t="s">
        <v>589</v>
      </c>
      <c r="D93" s="174"/>
      <c r="E93" s="174"/>
      <c r="F93" s="174"/>
      <c r="G93" s="176" t="s">
        <v>590</v>
      </c>
      <c r="H93" s="177" t="s">
        <v>381</v>
      </c>
      <c r="I93" s="177" t="s">
        <v>179</v>
      </c>
      <c r="J93" s="177" t="s">
        <v>3</v>
      </c>
      <c r="K93" s="177" t="s">
        <v>92</v>
      </c>
      <c r="L93" s="185">
        <v>0</v>
      </c>
      <c r="M93" s="185" t="s">
        <v>492</v>
      </c>
      <c r="N93" s="186">
        <v>0</v>
      </c>
      <c r="O93" s="186">
        <v>0</v>
      </c>
      <c r="P93" s="186">
        <v>0</v>
      </c>
      <c r="Q93" s="186" t="s">
        <v>492</v>
      </c>
      <c r="R93" s="178"/>
      <c r="S93" s="178"/>
      <c r="T93" s="178"/>
      <c r="U93" s="178"/>
      <c r="V93" s="178"/>
      <c r="W93" s="178"/>
      <c r="X93" s="178"/>
      <c r="Y93" s="178"/>
      <c r="Z93" s="178"/>
      <c r="AA93" s="178"/>
      <c r="AB93" s="178"/>
      <c r="AC93" s="178"/>
      <c r="AD93" s="193"/>
      <c r="AE93" s="193"/>
      <c r="AF93" s="178"/>
      <c r="AG93" s="178" t="s">
        <v>52</v>
      </c>
      <c r="AH93" s="179">
        <v>0.7</v>
      </c>
      <c r="AI93" s="193"/>
      <c r="AJ93" s="178" t="s">
        <v>53</v>
      </c>
      <c r="AK93" s="178">
        <f>+L92*0.7</f>
        <v>34198.338999999993</v>
      </c>
      <c r="AL93" s="220">
        <v>45550</v>
      </c>
      <c r="AM93" s="215">
        <f>(Table13[[#This Row],[Invoice Date]]-Table13[[#This Row],[Month]])/7</f>
        <v>7.4285714285714288</v>
      </c>
      <c r="AN93" s="229">
        <v>30</v>
      </c>
      <c r="AO93" s="219">
        <f t="shared" ref="AO93:AO95" si="33">AL93+AN93</f>
        <v>45580</v>
      </c>
      <c r="AP93" s="178" t="s">
        <v>53</v>
      </c>
      <c r="AQ93" s="201" t="str">
        <f ca="1">IF(AND(AO93&lt;TODAY(),Table13[[#This Row],[Payment Status]]="Pending"),"Past Due", "OK")</f>
        <v>Past Due</v>
      </c>
    </row>
    <row r="94" spans="1:43">
      <c r="A94" s="173">
        <v>45488</v>
      </c>
      <c r="B94" s="174" t="s">
        <v>44</v>
      </c>
      <c r="C94" s="175" t="s">
        <v>591</v>
      </c>
      <c r="D94" s="174"/>
      <c r="E94" s="174"/>
      <c r="F94" s="174"/>
      <c r="G94" s="176" t="s">
        <v>592</v>
      </c>
      <c r="H94" s="177" t="s">
        <v>593</v>
      </c>
      <c r="I94" s="177" t="s">
        <v>594</v>
      </c>
      <c r="J94" s="177" t="s">
        <v>49</v>
      </c>
      <c r="K94" s="177" t="s">
        <v>101</v>
      </c>
      <c r="L94" s="178">
        <v>19803</v>
      </c>
      <c r="M94" s="179">
        <f>Table13[[#This Row],[Quoted Rev]]/Table13[[#This Row],[PO Amount]]</f>
        <v>0.26832449628844113</v>
      </c>
      <c r="N94" s="178">
        <v>5313.63</v>
      </c>
      <c r="O94" s="178">
        <f>+Table13[[#This Row],[PO Amount]]-Table13[[#This Row],[Quoted Rev]]</f>
        <v>14489.369999999999</v>
      </c>
      <c r="P94" s="178"/>
      <c r="Q94" s="178"/>
      <c r="R94" s="178"/>
      <c r="S94" s="178"/>
      <c r="T94" s="178"/>
      <c r="U94" s="178"/>
      <c r="V94" s="178"/>
      <c r="W94" s="178"/>
      <c r="X94" s="178"/>
      <c r="Y94" s="178"/>
      <c r="Z94" s="178"/>
      <c r="AA94" s="178"/>
      <c r="AB94" s="178"/>
      <c r="AC94" s="178"/>
      <c r="AD94" s="193"/>
      <c r="AE94" s="193"/>
      <c r="AF94" s="178"/>
      <c r="AG94" s="178" t="s">
        <v>52</v>
      </c>
      <c r="AH94" s="179">
        <v>1</v>
      </c>
      <c r="AI94" s="193"/>
      <c r="AJ94" s="178" t="s">
        <v>53</v>
      </c>
      <c r="AK94" s="178">
        <v>19803</v>
      </c>
      <c r="AL94" s="220">
        <v>45560</v>
      </c>
      <c r="AM94" s="215">
        <f>(Table13[[#This Row],[Invoice Date]]-Table13[[#This Row],[Month]])/7</f>
        <v>10.285714285714286</v>
      </c>
      <c r="AN94" s="229">
        <v>30</v>
      </c>
      <c r="AO94" s="219">
        <f t="shared" si="33"/>
        <v>45590</v>
      </c>
      <c r="AP94" s="178" t="s">
        <v>53</v>
      </c>
      <c r="AQ94" s="201" t="str">
        <f ca="1">IF(AND(AO94&lt;TODAY(),Table13[[#This Row],[Payment Status]]="Pending"),"Past Due", "OK")</f>
        <v>Past Due</v>
      </c>
    </row>
    <row r="95" spans="1:43">
      <c r="A95" s="173">
        <v>45503</v>
      </c>
      <c r="B95" s="174" t="s">
        <v>44</v>
      </c>
      <c r="C95" s="175" t="s">
        <v>595</v>
      </c>
      <c r="D95" s="174"/>
      <c r="E95" s="174"/>
      <c r="F95" s="174"/>
      <c r="G95" s="176" t="s">
        <v>596</v>
      </c>
      <c r="H95" s="177" t="s">
        <v>47</v>
      </c>
      <c r="I95" s="177" t="s">
        <v>293</v>
      </c>
      <c r="J95" s="177" t="s">
        <v>49</v>
      </c>
      <c r="K95" s="177" t="s">
        <v>101</v>
      </c>
      <c r="L95" s="178">
        <v>34631.72</v>
      </c>
      <c r="M95" s="178"/>
      <c r="N95" s="178"/>
      <c r="O95" s="178"/>
      <c r="P95" s="178"/>
      <c r="Q95" s="178"/>
      <c r="R95" s="178"/>
      <c r="S95" s="178"/>
      <c r="T95" s="178"/>
      <c r="U95" s="178"/>
      <c r="V95" s="178"/>
      <c r="W95" s="178"/>
      <c r="X95" s="178"/>
      <c r="Y95" s="178"/>
      <c r="Z95" s="178"/>
      <c r="AA95" s="178"/>
      <c r="AB95" s="178"/>
      <c r="AC95" s="178"/>
      <c r="AD95" s="193"/>
      <c r="AE95" s="193"/>
      <c r="AF95" s="178"/>
      <c r="AG95" s="178" t="s">
        <v>52</v>
      </c>
      <c r="AH95" s="179">
        <v>1</v>
      </c>
      <c r="AI95" s="193"/>
      <c r="AJ95" s="178" t="s">
        <v>53</v>
      </c>
      <c r="AK95" s="178">
        <v>34631.72</v>
      </c>
      <c r="AL95" s="220">
        <v>45545</v>
      </c>
      <c r="AM95" s="215">
        <f>(Table13[[#This Row],[Invoice Date]]-Table13[[#This Row],[Month]])/7</f>
        <v>6</v>
      </c>
      <c r="AN95" s="229">
        <v>30</v>
      </c>
      <c r="AO95" s="219">
        <f t="shared" si="33"/>
        <v>45575</v>
      </c>
      <c r="AP95" s="178" t="s">
        <v>53</v>
      </c>
      <c r="AQ95" s="201" t="str">
        <f ca="1">IF(AND(AO95&lt;TODAY(),Table13[[#This Row],[Payment Status]]="Pending"),"Past Due", "OK")</f>
        <v>Past Due</v>
      </c>
    </row>
    <row r="96" spans="1:43">
      <c r="A96" s="173">
        <v>45517</v>
      </c>
      <c r="B96" s="174" t="s">
        <v>95</v>
      </c>
      <c r="C96" s="195"/>
      <c r="D96" s="174" t="s">
        <v>6</v>
      </c>
      <c r="E96" s="174"/>
      <c r="F96" s="174" t="s">
        <v>53</v>
      </c>
      <c r="G96" s="176" t="s">
        <v>96</v>
      </c>
      <c r="H96" s="177" t="s">
        <v>75</v>
      </c>
      <c r="I96" s="177" t="s">
        <v>76</v>
      </c>
      <c r="J96" s="177" t="s">
        <v>49</v>
      </c>
      <c r="K96" s="177" t="s">
        <v>97</v>
      </c>
      <c r="L96" s="178">
        <f>479772.58*0.09</f>
        <v>43179.532200000001</v>
      </c>
      <c r="M96" s="178"/>
      <c r="N96" s="178"/>
      <c r="O96" s="178"/>
      <c r="P96" s="178"/>
      <c r="Q96" s="178"/>
      <c r="R96" s="178"/>
      <c r="S96" s="178"/>
      <c r="T96" s="178"/>
      <c r="U96" s="178"/>
      <c r="V96" s="178"/>
      <c r="W96" s="178"/>
      <c r="X96" s="178"/>
      <c r="Y96" s="178"/>
      <c r="Z96" s="178"/>
      <c r="AA96" s="178"/>
      <c r="AB96" s="178"/>
      <c r="AC96" s="178"/>
      <c r="AD96" s="193"/>
      <c r="AE96" s="193"/>
      <c r="AF96" s="178"/>
      <c r="AG96" s="178" t="s">
        <v>98</v>
      </c>
      <c r="AH96" s="179">
        <v>1</v>
      </c>
      <c r="AI96" s="193"/>
      <c r="AJ96" s="178" t="s">
        <v>53</v>
      </c>
      <c r="AK96" s="178">
        <f>+Table13[[#This Row],[PO Amount]]</f>
        <v>43179.532200000001</v>
      </c>
      <c r="AL96" s="220">
        <v>45422</v>
      </c>
      <c r="AM96" s="220"/>
      <c r="AN96" s="229">
        <v>30</v>
      </c>
      <c r="AO96" s="178"/>
      <c r="AP96" s="178" t="s">
        <v>53</v>
      </c>
      <c r="AQ96" s="178"/>
    </row>
    <row r="97" spans="1:43">
      <c r="A97" s="173">
        <v>45532</v>
      </c>
      <c r="B97" s="174" t="s">
        <v>63</v>
      </c>
      <c r="C97" s="175" t="s">
        <v>597</v>
      </c>
      <c r="D97" s="174" t="s">
        <v>88</v>
      </c>
      <c r="E97" s="174" t="s">
        <v>89</v>
      </c>
      <c r="F97" s="174" t="s">
        <v>89</v>
      </c>
      <c r="G97" s="176" t="s">
        <v>598</v>
      </c>
      <c r="H97" s="177" t="s">
        <v>108</v>
      </c>
      <c r="I97" s="177" t="s">
        <v>109</v>
      </c>
      <c r="J97" s="177" t="s">
        <v>49</v>
      </c>
      <c r="K97" s="177" t="s">
        <v>68</v>
      </c>
      <c r="L97" s="178">
        <v>89906.98</v>
      </c>
      <c r="M97" s="178"/>
      <c r="N97" s="178">
        <v>34219.370000000003</v>
      </c>
      <c r="O97" s="178">
        <f>+Table13[[#This Row],[PO Amount]]-Table13[[#This Row],[Quoted Rev]]</f>
        <v>55687.609999999993</v>
      </c>
      <c r="P97" s="178"/>
      <c r="Q97" s="178"/>
      <c r="R97" s="178"/>
      <c r="S97" s="178"/>
      <c r="T97" s="178"/>
      <c r="U97" s="178"/>
      <c r="V97" s="178"/>
      <c r="W97" s="178"/>
      <c r="X97" s="178"/>
      <c r="Y97" s="178"/>
      <c r="Z97" s="178"/>
      <c r="AA97" s="178"/>
      <c r="AB97" s="178"/>
      <c r="AC97" s="178"/>
      <c r="AD97" s="193"/>
      <c r="AE97" s="193"/>
      <c r="AF97" s="178"/>
      <c r="AG97" s="178" t="s">
        <v>52</v>
      </c>
      <c r="AH97" s="179">
        <v>0.1</v>
      </c>
      <c r="AI97" s="193"/>
      <c r="AJ97" s="178" t="s">
        <v>53</v>
      </c>
      <c r="AK97" s="178">
        <f>+Table13[[#This Row],[PO Amount]]</f>
        <v>89906.98</v>
      </c>
      <c r="AL97" s="220">
        <v>45616</v>
      </c>
      <c r="AM97" s="220"/>
      <c r="AN97" s="229">
        <v>30</v>
      </c>
      <c r="AO97" s="178"/>
      <c r="AP97" s="178" t="s">
        <v>53</v>
      </c>
      <c r="AQ97" s="178"/>
    </row>
    <row r="98" spans="1:43">
      <c r="A98" s="173"/>
      <c r="B98" s="174"/>
      <c r="C98" s="195"/>
      <c r="D98" s="174"/>
      <c r="E98" s="174"/>
      <c r="F98" s="174"/>
      <c r="G98" s="176"/>
      <c r="H98" s="177"/>
      <c r="I98" s="177"/>
      <c r="J98" s="177"/>
      <c r="K98" s="177"/>
      <c r="L98" s="178"/>
      <c r="M98" s="178"/>
      <c r="N98" s="178"/>
      <c r="O98" s="178"/>
      <c r="P98" s="178"/>
      <c r="Q98" s="178"/>
      <c r="R98" s="178"/>
      <c r="S98" s="178"/>
      <c r="T98" s="178"/>
      <c r="U98" s="178"/>
      <c r="V98" s="178"/>
      <c r="W98" s="178"/>
      <c r="X98" s="178"/>
      <c r="Y98" s="178"/>
      <c r="Z98" s="178"/>
      <c r="AA98" s="178"/>
      <c r="AB98" s="178"/>
      <c r="AC98" s="178"/>
      <c r="AD98" s="193"/>
      <c r="AE98" s="193"/>
      <c r="AF98" s="178"/>
      <c r="AG98" s="178"/>
      <c r="AH98" s="179"/>
      <c r="AI98" s="193"/>
      <c r="AJ98" s="178"/>
      <c r="AK98" s="178"/>
      <c r="AL98" s="220"/>
      <c r="AM98" s="220"/>
      <c r="AN98" s="229"/>
      <c r="AO98" s="178"/>
      <c r="AP98" s="178"/>
      <c r="AQ98" s="178"/>
    </row>
    <row r="99" spans="1:43">
      <c r="A99" s="173"/>
      <c r="B99" s="174"/>
      <c r="C99" s="195"/>
      <c r="D99" s="174"/>
      <c r="E99" s="174"/>
      <c r="F99" s="174"/>
      <c r="G99" s="176"/>
      <c r="H99" s="177"/>
      <c r="I99" s="177"/>
      <c r="J99" s="177"/>
      <c r="K99" s="177"/>
      <c r="L99" s="178"/>
      <c r="M99" s="178"/>
      <c r="N99" s="178"/>
      <c r="O99" s="178"/>
      <c r="P99" s="178"/>
      <c r="Q99" s="178"/>
      <c r="R99" s="178"/>
      <c r="S99" s="178"/>
      <c r="T99" s="178"/>
      <c r="U99" s="178"/>
      <c r="V99" s="178"/>
      <c r="W99" s="178"/>
      <c r="X99" s="178"/>
      <c r="Y99" s="178"/>
      <c r="Z99" s="178"/>
      <c r="AA99" s="178"/>
      <c r="AB99" s="178"/>
      <c r="AC99" s="178"/>
      <c r="AD99" s="193"/>
      <c r="AE99" s="193"/>
      <c r="AF99" s="178"/>
      <c r="AG99" s="178"/>
      <c r="AH99" s="179"/>
      <c r="AI99" s="193"/>
      <c r="AJ99" s="178"/>
      <c r="AK99" s="178"/>
      <c r="AL99" s="220"/>
      <c r="AM99" s="220"/>
      <c r="AN99" s="229"/>
      <c r="AO99" s="178"/>
      <c r="AP99" s="178"/>
      <c r="AQ99" s="178"/>
    </row>
    <row r="100" spans="1:43">
      <c r="A100" s="173"/>
      <c r="B100" s="174"/>
      <c r="C100" s="195"/>
      <c r="D100" s="174"/>
      <c r="E100" s="174"/>
      <c r="F100" s="174"/>
      <c r="G100" s="176"/>
      <c r="H100" s="177"/>
      <c r="I100" s="177"/>
      <c r="J100" s="177"/>
      <c r="K100" s="177"/>
      <c r="L100" s="178"/>
      <c r="M100" s="178"/>
      <c r="N100" s="178"/>
      <c r="O100" s="178"/>
      <c r="P100" s="178"/>
      <c r="Q100" s="178"/>
      <c r="R100" s="178"/>
      <c r="S100" s="178"/>
      <c r="T100" s="178"/>
      <c r="U100" s="178"/>
      <c r="V100" s="178"/>
      <c r="W100" s="178"/>
      <c r="X100" s="178"/>
      <c r="Y100" s="178"/>
      <c r="Z100" s="178"/>
      <c r="AA100" s="178"/>
      <c r="AB100" s="178"/>
      <c r="AC100" s="178"/>
      <c r="AD100" s="193"/>
      <c r="AE100" s="193"/>
      <c r="AF100" s="178"/>
      <c r="AG100" s="178"/>
      <c r="AH100" s="179"/>
      <c r="AI100" s="193"/>
      <c r="AJ100" s="178"/>
      <c r="AK100" s="178"/>
      <c r="AL100" s="220"/>
      <c r="AM100" s="220"/>
      <c r="AN100" s="229"/>
      <c r="AO100" s="178"/>
      <c r="AP100" s="178"/>
      <c r="AQ100" s="178"/>
    </row>
    <row r="101" spans="1:43">
      <c r="A101" s="173"/>
      <c r="B101" s="174"/>
      <c r="C101" s="195"/>
      <c r="D101" s="174"/>
      <c r="E101" s="174"/>
      <c r="F101" s="174"/>
      <c r="G101" s="176"/>
      <c r="H101" s="177"/>
      <c r="I101" s="177"/>
      <c r="J101" s="177"/>
      <c r="K101" s="177"/>
      <c r="L101" s="178"/>
      <c r="M101" s="178"/>
      <c r="N101" s="178"/>
      <c r="O101" s="178"/>
      <c r="P101" s="178"/>
      <c r="Q101" s="178"/>
      <c r="R101" s="178"/>
      <c r="S101" s="178"/>
      <c r="T101" s="178"/>
      <c r="U101" s="178"/>
      <c r="V101" s="178"/>
      <c r="W101" s="178"/>
      <c r="X101" s="178"/>
      <c r="Y101" s="178"/>
      <c r="Z101" s="178"/>
      <c r="AA101" s="178"/>
      <c r="AB101" s="178"/>
      <c r="AC101" s="178"/>
      <c r="AD101" s="193"/>
      <c r="AE101" s="193"/>
      <c r="AF101" s="178"/>
      <c r="AG101" s="178"/>
      <c r="AH101" s="179"/>
      <c r="AI101" s="193"/>
      <c r="AJ101" s="178"/>
      <c r="AK101" s="178"/>
      <c r="AL101" s="220"/>
      <c r="AM101" s="220"/>
      <c r="AN101" s="229"/>
      <c r="AO101" s="178"/>
      <c r="AP101" s="178"/>
      <c r="AQ101" s="178"/>
    </row>
    <row r="102" spans="1:43">
      <c r="A102" s="173"/>
      <c r="B102" s="174"/>
      <c r="C102" s="195"/>
      <c r="D102" s="174"/>
      <c r="E102" s="174"/>
      <c r="F102" s="174"/>
      <c r="G102" s="176"/>
      <c r="H102" s="177"/>
      <c r="I102" s="177"/>
      <c r="J102" s="177"/>
      <c r="K102" s="177"/>
      <c r="L102" s="178"/>
      <c r="M102" s="178"/>
      <c r="N102" s="178"/>
      <c r="O102" s="178"/>
      <c r="P102" s="178"/>
      <c r="Q102" s="178"/>
      <c r="R102" s="178"/>
      <c r="S102" s="178"/>
      <c r="T102" s="178"/>
      <c r="U102" s="178"/>
      <c r="V102" s="178"/>
      <c r="W102" s="178"/>
      <c r="X102" s="178"/>
      <c r="Y102" s="178"/>
      <c r="Z102" s="178"/>
      <c r="AA102" s="178"/>
      <c r="AB102" s="178"/>
      <c r="AC102" s="178"/>
      <c r="AD102" s="193"/>
      <c r="AE102" s="193"/>
      <c r="AF102" s="178"/>
      <c r="AG102" s="178"/>
      <c r="AH102" s="179"/>
      <c r="AI102" s="193"/>
      <c r="AJ102" s="178"/>
      <c r="AK102" s="178"/>
      <c r="AL102" s="220"/>
      <c r="AM102" s="220"/>
      <c r="AN102" s="229"/>
      <c r="AO102" s="178"/>
      <c r="AP102" s="178"/>
      <c r="AQ102" s="178"/>
    </row>
    <row r="103" spans="1:43">
      <c r="A103" s="173"/>
      <c r="B103" s="174"/>
      <c r="C103" s="195"/>
      <c r="D103" s="174"/>
      <c r="E103" s="174"/>
      <c r="F103" s="174"/>
      <c r="G103" s="176"/>
      <c r="H103" s="177"/>
      <c r="I103" s="177"/>
      <c r="J103" s="177"/>
      <c r="K103" s="177"/>
      <c r="L103" s="178"/>
      <c r="M103" s="178"/>
      <c r="N103" s="178"/>
      <c r="O103" s="178"/>
      <c r="P103" s="178"/>
      <c r="Q103" s="178"/>
      <c r="R103" s="178"/>
      <c r="S103" s="178"/>
      <c r="T103" s="178"/>
      <c r="U103" s="178"/>
      <c r="V103" s="178"/>
      <c r="W103" s="178"/>
      <c r="X103" s="178"/>
      <c r="Y103" s="178"/>
      <c r="Z103" s="178"/>
      <c r="AA103" s="178"/>
      <c r="AB103" s="178"/>
      <c r="AC103" s="178"/>
      <c r="AD103" s="193"/>
      <c r="AE103" s="193"/>
      <c r="AF103" s="178"/>
      <c r="AG103" s="178"/>
      <c r="AH103" s="179"/>
      <c r="AI103" s="193"/>
      <c r="AJ103" s="178"/>
      <c r="AK103" s="178"/>
      <c r="AL103" s="220"/>
      <c r="AM103" s="220"/>
      <c r="AN103" s="229"/>
      <c r="AO103" s="178"/>
      <c r="AP103" s="178"/>
      <c r="AQ103" s="178"/>
    </row>
    <row r="104" spans="1:43">
      <c r="A104" s="173"/>
      <c r="B104" s="174"/>
      <c r="C104" s="195"/>
      <c r="D104" s="174"/>
      <c r="E104" s="174"/>
      <c r="F104" s="174"/>
      <c r="G104" s="176"/>
      <c r="H104" s="177"/>
      <c r="I104" s="177"/>
      <c r="J104" s="177"/>
      <c r="K104" s="177"/>
      <c r="L104" s="178"/>
      <c r="M104" s="178"/>
      <c r="N104" s="178"/>
      <c r="O104" s="178"/>
      <c r="P104" s="178"/>
      <c r="Q104" s="178"/>
      <c r="R104" s="178"/>
      <c r="S104" s="178"/>
      <c r="T104" s="178"/>
      <c r="U104" s="178"/>
      <c r="V104" s="178"/>
      <c r="W104" s="178"/>
      <c r="X104" s="178"/>
      <c r="Y104" s="178"/>
      <c r="Z104" s="178"/>
      <c r="AA104" s="178"/>
      <c r="AB104" s="178"/>
      <c r="AC104" s="178"/>
      <c r="AD104" s="193"/>
      <c r="AE104" s="193"/>
      <c r="AF104" s="178"/>
      <c r="AG104" s="178"/>
      <c r="AH104" s="179"/>
      <c r="AI104" s="193"/>
      <c r="AJ104" s="178"/>
      <c r="AK104" s="178"/>
      <c r="AL104" s="220"/>
      <c r="AM104" s="220"/>
      <c r="AN104" s="229"/>
      <c r="AO104" s="178"/>
      <c r="AP104" s="178"/>
      <c r="AQ104" s="178"/>
    </row>
    <row r="105" spans="1:43">
      <c r="A105" s="173"/>
      <c r="B105" s="174"/>
      <c r="C105" s="195"/>
      <c r="D105" s="174"/>
      <c r="E105" s="174"/>
      <c r="F105" s="174"/>
      <c r="G105" s="176"/>
      <c r="H105" s="177"/>
      <c r="I105" s="177"/>
      <c r="J105" s="177"/>
      <c r="K105" s="177"/>
      <c r="L105" s="178"/>
      <c r="M105" s="178"/>
      <c r="N105" s="178"/>
      <c r="O105" s="178"/>
      <c r="P105" s="178"/>
      <c r="Q105" s="178"/>
      <c r="R105" s="178"/>
      <c r="S105" s="178"/>
      <c r="T105" s="178"/>
      <c r="U105" s="178"/>
      <c r="V105" s="178"/>
      <c r="W105" s="178"/>
      <c r="X105" s="178"/>
      <c r="Y105" s="178"/>
      <c r="Z105" s="178"/>
      <c r="AA105" s="178"/>
      <c r="AB105" s="178"/>
      <c r="AC105" s="178"/>
      <c r="AD105" s="193"/>
      <c r="AE105" s="193"/>
      <c r="AF105" s="178"/>
      <c r="AG105" s="178"/>
      <c r="AH105" s="179"/>
      <c r="AI105" s="193"/>
      <c r="AJ105" s="178"/>
      <c r="AK105" s="178"/>
      <c r="AL105" s="220"/>
      <c r="AM105" s="220"/>
      <c r="AN105" s="229"/>
      <c r="AO105" s="178"/>
      <c r="AP105" s="178"/>
      <c r="AQ105" s="178"/>
    </row>
    <row r="106" spans="1:43">
      <c r="A106" s="173"/>
      <c r="B106" s="174"/>
      <c r="C106" s="195"/>
      <c r="D106" s="174"/>
      <c r="E106" s="174"/>
      <c r="F106" s="174"/>
      <c r="G106" s="176"/>
      <c r="H106" s="177"/>
      <c r="I106" s="177"/>
      <c r="J106" s="177"/>
      <c r="K106" s="177"/>
      <c r="L106" s="178"/>
      <c r="M106" s="178"/>
      <c r="N106" s="178"/>
      <c r="O106" s="178"/>
      <c r="P106" s="178"/>
      <c r="Q106" s="178"/>
      <c r="R106" s="178"/>
      <c r="S106" s="178"/>
      <c r="T106" s="178"/>
      <c r="U106" s="178"/>
      <c r="V106" s="178"/>
      <c r="W106" s="178"/>
      <c r="X106" s="178"/>
      <c r="Y106" s="178"/>
      <c r="Z106" s="178"/>
      <c r="AA106" s="178"/>
      <c r="AB106" s="178"/>
      <c r="AC106" s="178"/>
      <c r="AD106" s="193"/>
      <c r="AE106" s="193"/>
      <c r="AF106" s="178"/>
      <c r="AG106" s="178"/>
      <c r="AH106" s="179"/>
      <c r="AI106" s="193"/>
      <c r="AJ106" s="178"/>
      <c r="AK106" s="178"/>
      <c r="AL106" s="220"/>
      <c r="AM106" s="220"/>
      <c r="AN106" s="229"/>
      <c r="AO106" s="178"/>
      <c r="AP106" s="178"/>
      <c r="AQ106" s="178"/>
    </row>
    <row r="107" spans="1:43">
      <c r="A107" s="173"/>
      <c r="B107" s="174"/>
      <c r="C107" s="195"/>
      <c r="D107" s="174"/>
      <c r="E107" s="174"/>
      <c r="F107" s="174"/>
      <c r="G107" s="176"/>
      <c r="H107" s="177"/>
      <c r="I107" s="177"/>
      <c r="J107" s="177"/>
      <c r="K107" s="177"/>
      <c r="L107" s="178"/>
      <c r="M107" s="178"/>
      <c r="N107" s="178"/>
      <c r="O107" s="178"/>
      <c r="P107" s="178"/>
      <c r="Q107" s="178"/>
      <c r="R107" s="178"/>
      <c r="S107" s="178"/>
      <c r="T107" s="178"/>
      <c r="U107" s="178"/>
      <c r="V107" s="178"/>
      <c r="W107" s="178"/>
      <c r="X107" s="178"/>
      <c r="Y107" s="178"/>
      <c r="Z107" s="178"/>
      <c r="AA107" s="178"/>
      <c r="AB107" s="178"/>
      <c r="AC107" s="178"/>
      <c r="AD107" s="193"/>
      <c r="AE107" s="193"/>
      <c r="AF107" s="178"/>
      <c r="AG107" s="178"/>
      <c r="AH107" s="179"/>
      <c r="AI107" s="193"/>
      <c r="AJ107" s="178"/>
      <c r="AK107" s="178"/>
      <c r="AL107" s="220"/>
      <c r="AM107" s="220"/>
      <c r="AN107" s="229"/>
      <c r="AO107" s="178"/>
      <c r="AP107" s="178"/>
      <c r="AQ107" s="178"/>
    </row>
    <row r="108" spans="1:43">
      <c r="A108" s="173"/>
      <c r="B108" s="174"/>
      <c r="C108" s="195"/>
      <c r="D108" s="174"/>
      <c r="E108" s="174"/>
      <c r="F108" s="174"/>
      <c r="G108" s="176"/>
      <c r="H108" s="177"/>
      <c r="I108" s="177"/>
      <c r="J108" s="177"/>
      <c r="K108" s="177"/>
      <c r="L108" s="178"/>
      <c r="M108" s="178"/>
      <c r="N108" s="178"/>
      <c r="O108" s="178"/>
      <c r="P108" s="178"/>
      <c r="Q108" s="178"/>
      <c r="R108" s="178"/>
      <c r="S108" s="178"/>
      <c r="T108" s="178"/>
      <c r="U108" s="178"/>
      <c r="V108" s="178"/>
      <c r="W108" s="178"/>
      <c r="X108" s="178"/>
      <c r="Y108" s="178"/>
      <c r="Z108" s="178"/>
      <c r="AA108" s="178"/>
      <c r="AB108" s="178"/>
      <c r="AC108" s="178"/>
      <c r="AD108" s="193"/>
      <c r="AE108" s="193"/>
      <c r="AF108" s="178"/>
      <c r="AG108" s="178"/>
      <c r="AH108" s="179"/>
      <c r="AI108" s="193"/>
      <c r="AJ108" s="178"/>
      <c r="AK108" s="178"/>
      <c r="AL108" s="220"/>
      <c r="AM108" s="220"/>
      <c r="AN108" s="229"/>
      <c r="AO108" s="178"/>
      <c r="AP108" s="178"/>
      <c r="AQ108" s="178"/>
    </row>
    <row r="109" spans="1:43">
      <c r="A109" s="173"/>
      <c r="B109" s="174"/>
      <c r="C109" s="195"/>
      <c r="D109" s="174"/>
      <c r="E109" s="174"/>
      <c r="F109" s="174"/>
      <c r="G109" s="176"/>
      <c r="H109" s="177"/>
      <c r="I109" s="177"/>
      <c r="J109" s="177"/>
      <c r="K109" s="177"/>
      <c r="L109" s="178"/>
      <c r="M109" s="178"/>
      <c r="N109" s="178"/>
      <c r="O109" s="178"/>
      <c r="P109" s="178"/>
      <c r="Q109" s="178"/>
      <c r="R109" s="178"/>
      <c r="S109" s="178"/>
      <c r="T109" s="178"/>
      <c r="U109" s="178"/>
      <c r="V109" s="178"/>
      <c r="W109" s="178"/>
      <c r="X109" s="178"/>
      <c r="Y109" s="178"/>
      <c r="Z109" s="178"/>
      <c r="AA109" s="178"/>
      <c r="AB109" s="178"/>
      <c r="AC109" s="178"/>
      <c r="AD109" s="193"/>
      <c r="AE109" s="193"/>
      <c r="AF109" s="178"/>
      <c r="AG109" s="178"/>
      <c r="AH109" s="179"/>
      <c r="AI109" s="193"/>
      <c r="AJ109" s="178"/>
      <c r="AK109" s="178"/>
      <c r="AL109" s="220"/>
      <c r="AM109" s="220"/>
      <c r="AN109" s="229"/>
      <c r="AO109" s="178"/>
      <c r="AP109" s="178"/>
      <c r="AQ109" s="178"/>
    </row>
    <row r="110" spans="1:43">
      <c r="A110" s="173"/>
      <c r="B110" s="174"/>
      <c r="C110" s="195"/>
      <c r="D110" s="174"/>
      <c r="E110" s="174"/>
      <c r="F110" s="174"/>
      <c r="G110" s="176"/>
      <c r="H110" s="177"/>
      <c r="I110" s="177"/>
      <c r="J110" s="177"/>
      <c r="K110" s="177"/>
      <c r="L110" s="178"/>
      <c r="M110" s="178"/>
      <c r="N110" s="178"/>
      <c r="O110" s="178"/>
      <c r="P110" s="178"/>
      <c r="Q110" s="178"/>
      <c r="R110" s="178"/>
      <c r="S110" s="178"/>
      <c r="T110" s="178"/>
      <c r="U110" s="178"/>
      <c r="V110" s="178"/>
      <c r="W110" s="178"/>
      <c r="X110" s="178"/>
      <c r="Y110" s="178"/>
      <c r="Z110" s="178"/>
      <c r="AA110" s="178"/>
      <c r="AB110" s="178"/>
      <c r="AC110" s="178"/>
      <c r="AD110" s="193"/>
      <c r="AE110" s="193"/>
      <c r="AF110" s="178"/>
      <c r="AG110" s="178"/>
      <c r="AH110" s="179"/>
      <c r="AI110" s="193"/>
      <c r="AJ110" s="178"/>
      <c r="AK110" s="178"/>
      <c r="AL110" s="220"/>
      <c r="AM110" s="220"/>
      <c r="AN110" s="229"/>
      <c r="AO110" s="178"/>
      <c r="AP110" s="178"/>
      <c r="AQ110" s="178"/>
    </row>
    <row r="111" spans="1:43">
      <c r="A111" s="173"/>
      <c r="B111" s="174"/>
      <c r="C111" s="195"/>
      <c r="D111" s="174"/>
      <c r="E111" s="174"/>
      <c r="F111" s="174"/>
      <c r="G111" s="176"/>
      <c r="H111" s="177"/>
      <c r="I111" s="177"/>
      <c r="J111" s="177"/>
      <c r="K111" s="177"/>
      <c r="L111" s="178"/>
      <c r="M111" s="178"/>
      <c r="N111" s="178"/>
      <c r="O111" s="178"/>
      <c r="P111" s="178"/>
      <c r="Q111" s="178"/>
      <c r="R111" s="178"/>
      <c r="S111" s="178"/>
      <c r="T111" s="178"/>
      <c r="U111" s="178"/>
      <c r="V111" s="178"/>
      <c r="W111" s="178"/>
      <c r="X111" s="178"/>
      <c r="Y111" s="178"/>
      <c r="Z111" s="178"/>
      <c r="AA111" s="178"/>
      <c r="AB111" s="178"/>
      <c r="AC111" s="178"/>
      <c r="AD111" s="193"/>
      <c r="AE111" s="193"/>
      <c r="AF111" s="178"/>
      <c r="AG111" s="178"/>
      <c r="AH111" s="179"/>
      <c r="AI111" s="193"/>
      <c r="AJ111" s="178"/>
      <c r="AK111" s="178"/>
      <c r="AL111" s="220"/>
      <c r="AM111" s="220"/>
      <c r="AN111" s="229"/>
      <c r="AO111" s="178"/>
      <c r="AP111" s="178"/>
      <c r="AQ111" s="178"/>
    </row>
    <row r="112" spans="1:43">
      <c r="A112" s="173"/>
      <c r="B112" s="174"/>
      <c r="C112" s="195"/>
      <c r="D112" s="174"/>
      <c r="E112" s="174"/>
      <c r="F112" s="174"/>
      <c r="G112" s="176"/>
      <c r="H112" s="177"/>
      <c r="I112" s="177"/>
      <c r="J112" s="177"/>
      <c r="K112" s="177"/>
      <c r="L112" s="178"/>
      <c r="M112" s="178"/>
      <c r="N112" s="178"/>
      <c r="O112" s="178"/>
      <c r="P112" s="178"/>
      <c r="Q112" s="178"/>
      <c r="R112" s="178"/>
      <c r="S112" s="178"/>
      <c r="T112" s="178"/>
      <c r="U112" s="178"/>
      <c r="V112" s="178"/>
      <c r="W112" s="178"/>
      <c r="X112" s="178"/>
      <c r="Y112" s="178"/>
      <c r="Z112" s="178"/>
      <c r="AA112" s="178"/>
      <c r="AB112" s="178"/>
      <c r="AC112" s="178"/>
      <c r="AD112" s="193"/>
      <c r="AE112" s="193"/>
      <c r="AF112" s="178"/>
      <c r="AG112" s="178"/>
      <c r="AH112" s="179"/>
      <c r="AI112" s="193"/>
      <c r="AJ112" s="178"/>
      <c r="AK112" s="178"/>
      <c r="AL112" s="220"/>
      <c r="AM112" s="220"/>
      <c r="AN112" s="229"/>
      <c r="AO112" s="178"/>
      <c r="AP112" s="178"/>
      <c r="AQ112" s="178"/>
    </row>
    <row r="113" spans="1:43">
      <c r="A113" s="173"/>
      <c r="B113" s="174"/>
      <c r="C113" s="195"/>
      <c r="D113" s="174"/>
      <c r="E113" s="174"/>
      <c r="F113" s="174"/>
      <c r="G113" s="176"/>
      <c r="H113" s="177"/>
      <c r="I113" s="177"/>
      <c r="J113" s="177"/>
      <c r="K113" s="177"/>
      <c r="L113" s="178"/>
      <c r="M113" s="178"/>
      <c r="N113" s="178"/>
      <c r="O113" s="178"/>
      <c r="P113" s="178"/>
      <c r="Q113" s="178"/>
      <c r="R113" s="178"/>
      <c r="S113" s="178"/>
      <c r="T113" s="178"/>
      <c r="U113" s="178"/>
      <c r="V113" s="178"/>
      <c r="W113" s="178"/>
      <c r="X113" s="178"/>
      <c r="Y113" s="178"/>
      <c r="Z113" s="178"/>
      <c r="AA113" s="178"/>
      <c r="AB113" s="178"/>
      <c r="AC113" s="178"/>
      <c r="AD113" s="193"/>
      <c r="AE113" s="193"/>
      <c r="AF113" s="178"/>
      <c r="AG113" s="178"/>
      <c r="AH113" s="179"/>
      <c r="AI113" s="193"/>
      <c r="AJ113" s="178"/>
      <c r="AK113" s="178"/>
      <c r="AL113" s="220"/>
      <c r="AM113" s="220"/>
      <c r="AN113" s="229"/>
      <c r="AO113" s="178"/>
      <c r="AP113" s="178"/>
      <c r="AQ113" s="178"/>
    </row>
    <row r="114" spans="1:43">
      <c r="A114" s="173"/>
      <c r="B114" s="174"/>
      <c r="C114" s="195"/>
      <c r="D114" s="174"/>
      <c r="E114" s="174"/>
      <c r="F114" s="174"/>
      <c r="G114" s="176"/>
      <c r="H114" s="177"/>
      <c r="I114" s="177"/>
      <c r="J114" s="177"/>
      <c r="K114" s="177"/>
      <c r="L114" s="178"/>
      <c r="M114" s="178"/>
      <c r="N114" s="178"/>
      <c r="O114" s="178"/>
      <c r="P114" s="178"/>
      <c r="Q114" s="178"/>
      <c r="R114" s="178"/>
      <c r="S114" s="178"/>
      <c r="T114" s="178"/>
      <c r="U114" s="178"/>
      <c r="V114" s="178"/>
      <c r="W114" s="178"/>
      <c r="X114" s="178"/>
      <c r="Y114" s="178"/>
      <c r="Z114" s="178"/>
      <c r="AA114" s="178"/>
      <c r="AB114" s="178"/>
      <c r="AC114" s="178"/>
      <c r="AD114" s="193"/>
      <c r="AE114" s="193"/>
      <c r="AF114" s="178"/>
      <c r="AG114" s="178"/>
      <c r="AH114" s="179"/>
      <c r="AI114" s="193"/>
      <c r="AJ114" s="178"/>
      <c r="AK114" s="178"/>
      <c r="AL114" s="220"/>
      <c r="AM114" s="220"/>
      <c r="AN114" s="229"/>
      <c r="AO114" s="178"/>
      <c r="AP114" s="178"/>
      <c r="AQ114" s="178"/>
    </row>
    <row r="115" spans="1:43">
      <c r="A115" s="173"/>
      <c r="B115" s="174"/>
      <c r="C115" s="195"/>
      <c r="D115" s="174"/>
      <c r="E115" s="174"/>
      <c r="F115" s="174"/>
      <c r="G115" s="176"/>
      <c r="H115" s="177"/>
      <c r="I115" s="177"/>
      <c r="J115" s="177"/>
      <c r="K115" s="177"/>
      <c r="L115" s="178"/>
      <c r="M115" s="178"/>
      <c r="N115" s="178"/>
      <c r="O115" s="178"/>
      <c r="P115" s="178"/>
      <c r="Q115" s="178"/>
      <c r="R115" s="178"/>
      <c r="S115" s="178"/>
      <c r="T115" s="178"/>
      <c r="U115" s="178"/>
      <c r="V115" s="178"/>
      <c r="W115" s="178"/>
      <c r="X115" s="178"/>
      <c r="Y115" s="178"/>
      <c r="Z115" s="178"/>
      <c r="AA115" s="178"/>
      <c r="AB115" s="178"/>
      <c r="AC115" s="178"/>
      <c r="AD115" s="193"/>
      <c r="AE115" s="193"/>
      <c r="AF115" s="178"/>
      <c r="AG115" s="178"/>
      <c r="AH115" s="179"/>
      <c r="AI115" s="193"/>
      <c r="AJ115" s="178"/>
      <c r="AK115" s="178"/>
      <c r="AL115" s="220"/>
      <c r="AM115" s="220"/>
      <c r="AN115" s="229"/>
      <c r="AO115" s="178"/>
      <c r="AP115" s="178"/>
      <c r="AQ115" s="178"/>
    </row>
    <row r="116" spans="1:43">
      <c r="A116" s="173"/>
      <c r="B116" s="174"/>
      <c r="C116" s="195"/>
      <c r="D116" s="174"/>
      <c r="E116" s="174"/>
      <c r="F116" s="174"/>
      <c r="G116" s="176"/>
      <c r="H116" s="177"/>
      <c r="I116" s="177"/>
      <c r="J116" s="177"/>
      <c r="K116" s="177"/>
      <c r="L116" s="178"/>
      <c r="M116" s="178"/>
      <c r="N116" s="178"/>
      <c r="O116" s="178"/>
      <c r="P116" s="178"/>
      <c r="Q116" s="178"/>
      <c r="R116" s="178"/>
      <c r="S116" s="178"/>
      <c r="T116" s="178"/>
      <c r="U116" s="178"/>
      <c r="V116" s="178"/>
      <c r="W116" s="178"/>
      <c r="X116" s="178"/>
      <c r="Y116" s="178"/>
      <c r="Z116" s="178"/>
      <c r="AA116" s="178"/>
      <c r="AB116" s="178"/>
      <c r="AC116" s="178"/>
      <c r="AD116" s="193"/>
      <c r="AE116" s="193"/>
      <c r="AF116" s="178"/>
      <c r="AG116" s="178"/>
      <c r="AH116" s="179"/>
      <c r="AI116" s="193"/>
      <c r="AJ116" s="178"/>
      <c r="AK116" s="178"/>
      <c r="AL116" s="220"/>
      <c r="AM116" s="220"/>
      <c r="AN116" s="229"/>
      <c r="AO116" s="178"/>
      <c r="AP116" s="178"/>
      <c r="AQ116" s="178"/>
    </row>
    <row r="117" spans="1:43">
      <c r="A117" s="173"/>
      <c r="B117" s="174"/>
      <c r="C117" s="195"/>
      <c r="D117" s="174"/>
      <c r="E117" s="174"/>
      <c r="F117" s="174"/>
      <c r="G117" s="176"/>
      <c r="H117" s="177"/>
      <c r="I117" s="177"/>
      <c r="J117" s="177"/>
      <c r="K117" s="177"/>
      <c r="L117" s="178"/>
      <c r="M117" s="178"/>
      <c r="N117" s="178"/>
      <c r="O117" s="178"/>
      <c r="P117" s="178"/>
      <c r="Q117" s="178"/>
      <c r="R117" s="178"/>
      <c r="S117" s="178"/>
      <c r="T117" s="178"/>
      <c r="U117" s="178"/>
      <c r="V117" s="178"/>
      <c r="W117" s="178"/>
      <c r="X117" s="178"/>
      <c r="Y117" s="178"/>
      <c r="Z117" s="178"/>
      <c r="AA117" s="178"/>
      <c r="AB117" s="178"/>
      <c r="AC117" s="178"/>
      <c r="AD117" s="193"/>
      <c r="AE117" s="193"/>
      <c r="AF117" s="178"/>
      <c r="AG117" s="178"/>
      <c r="AH117" s="179"/>
      <c r="AI117" s="193"/>
      <c r="AJ117" s="178"/>
      <c r="AK117" s="178"/>
      <c r="AL117" s="220"/>
      <c r="AM117" s="220"/>
      <c r="AN117" s="229"/>
      <c r="AO117" s="178"/>
      <c r="AP117" s="178"/>
      <c r="AQ117" s="178"/>
    </row>
    <row r="118" spans="1:43">
      <c r="A118" s="173"/>
      <c r="B118" s="174"/>
      <c r="C118" s="195"/>
      <c r="D118" s="174"/>
      <c r="E118" s="174"/>
      <c r="F118" s="174"/>
      <c r="G118" s="176"/>
      <c r="H118" s="177"/>
      <c r="I118" s="177"/>
      <c r="J118" s="177"/>
      <c r="K118" s="177"/>
      <c r="L118" s="178"/>
      <c r="M118" s="178"/>
      <c r="N118" s="178"/>
      <c r="O118" s="178"/>
      <c r="P118" s="178"/>
      <c r="Q118" s="178"/>
      <c r="R118" s="178"/>
      <c r="S118" s="178"/>
      <c r="T118" s="178"/>
      <c r="U118" s="178"/>
      <c r="V118" s="178"/>
      <c r="W118" s="178"/>
      <c r="X118" s="178"/>
      <c r="Y118" s="178"/>
      <c r="Z118" s="178"/>
      <c r="AA118" s="178"/>
      <c r="AB118" s="178"/>
      <c r="AC118" s="178"/>
      <c r="AD118" s="193"/>
      <c r="AE118" s="193"/>
      <c r="AF118" s="178"/>
      <c r="AG118" s="178"/>
      <c r="AH118" s="179"/>
      <c r="AI118" s="193"/>
      <c r="AJ118" s="178"/>
      <c r="AK118" s="178"/>
      <c r="AL118" s="220"/>
      <c r="AM118" s="220"/>
      <c r="AN118" s="229"/>
      <c r="AO118" s="178"/>
      <c r="AP118" s="178"/>
      <c r="AQ118" s="178"/>
    </row>
    <row r="119" spans="1:43">
      <c r="A119" s="173"/>
      <c r="B119" s="174"/>
      <c r="C119" s="195"/>
      <c r="D119" s="174"/>
      <c r="E119" s="174"/>
      <c r="F119" s="174"/>
      <c r="G119" s="176"/>
      <c r="H119" s="177"/>
      <c r="I119" s="177"/>
      <c r="J119" s="177"/>
      <c r="K119" s="177"/>
      <c r="L119" s="178"/>
      <c r="M119" s="178"/>
      <c r="N119" s="178"/>
      <c r="O119" s="178"/>
      <c r="P119" s="178"/>
      <c r="Q119" s="178"/>
      <c r="R119" s="178"/>
      <c r="S119" s="178"/>
      <c r="T119" s="178"/>
      <c r="U119" s="178"/>
      <c r="V119" s="178"/>
      <c r="W119" s="178"/>
      <c r="X119" s="178"/>
      <c r="Y119" s="178"/>
      <c r="Z119" s="178"/>
      <c r="AA119" s="178"/>
      <c r="AB119" s="178"/>
      <c r="AC119" s="178"/>
      <c r="AD119" s="193"/>
      <c r="AE119" s="193"/>
      <c r="AF119" s="178"/>
      <c r="AG119" s="178"/>
      <c r="AH119" s="179"/>
      <c r="AI119" s="193"/>
      <c r="AJ119" s="178"/>
      <c r="AK119" s="178"/>
      <c r="AL119" s="220"/>
      <c r="AM119" s="220"/>
      <c r="AN119" s="229"/>
      <c r="AO119" s="178"/>
      <c r="AP119" s="178"/>
      <c r="AQ119" s="178"/>
    </row>
    <row r="120" spans="1:43">
      <c r="A120" s="173"/>
      <c r="B120" s="174"/>
      <c r="C120" s="195"/>
      <c r="D120" s="174"/>
      <c r="E120" s="174"/>
      <c r="F120" s="174"/>
      <c r="G120" s="176"/>
      <c r="H120" s="177"/>
      <c r="I120" s="177"/>
      <c r="J120" s="177"/>
      <c r="K120" s="177"/>
      <c r="L120" s="178"/>
      <c r="M120" s="178"/>
      <c r="N120" s="178"/>
      <c r="O120" s="178"/>
      <c r="P120" s="178"/>
      <c r="Q120" s="178"/>
      <c r="R120" s="178"/>
      <c r="S120" s="178"/>
      <c r="T120" s="178"/>
      <c r="U120" s="178"/>
      <c r="V120" s="178"/>
      <c r="W120" s="178"/>
      <c r="X120" s="178"/>
      <c r="Y120" s="178"/>
      <c r="Z120" s="178"/>
      <c r="AA120" s="178"/>
      <c r="AB120" s="178"/>
      <c r="AC120" s="178"/>
      <c r="AD120" s="193"/>
      <c r="AE120" s="193"/>
      <c r="AF120" s="178"/>
      <c r="AG120" s="178"/>
      <c r="AH120" s="179"/>
      <c r="AI120" s="193"/>
      <c r="AJ120" s="178"/>
      <c r="AK120" s="178"/>
      <c r="AL120" s="220"/>
      <c r="AM120" s="220"/>
      <c r="AN120" s="229"/>
      <c r="AO120" s="178"/>
      <c r="AP120" s="178"/>
      <c r="AQ120" s="178"/>
    </row>
    <row r="121" spans="1:43">
      <c r="A121" s="173"/>
      <c r="B121" s="174"/>
      <c r="C121" s="195"/>
      <c r="D121" s="174"/>
      <c r="E121" s="174"/>
      <c r="F121" s="174"/>
      <c r="G121" s="176"/>
      <c r="H121" s="177"/>
      <c r="I121" s="177"/>
      <c r="J121" s="177"/>
      <c r="K121" s="177"/>
      <c r="L121" s="178"/>
      <c r="M121" s="178"/>
      <c r="N121" s="178"/>
      <c r="O121" s="178"/>
      <c r="P121" s="178"/>
      <c r="Q121" s="178"/>
      <c r="R121" s="178"/>
      <c r="S121" s="178"/>
      <c r="T121" s="178"/>
      <c r="U121" s="178"/>
      <c r="V121" s="178"/>
      <c r="W121" s="178"/>
      <c r="X121" s="178"/>
      <c r="Y121" s="178"/>
      <c r="Z121" s="178"/>
      <c r="AA121" s="178"/>
      <c r="AB121" s="178"/>
      <c r="AC121" s="178"/>
      <c r="AD121" s="193"/>
      <c r="AE121" s="193"/>
      <c r="AF121" s="178"/>
      <c r="AG121" s="178"/>
      <c r="AH121" s="179"/>
      <c r="AI121" s="193"/>
      <c r="AJ121" s="178"/>
      <c r="AK121" s="178"/>
      <c r="AL121" s="220"/>
      <c r="AM121" s="220"/>
      <c r="AN121" s="229"/>
      <c r="AO121" s="178"/>
      <c r="AP121" s="178"/>
      <c r="AQ121" s="178"/>
    </row>
    <row r="122" spans="1:43">
      <c r="A122" s="173"/>
      <c r="B122" s="174"/>
      <c r="C122" s="195"/>
      <c r="D122" s="174"/>
      <c r="E122" s="174"/>
      <c r="F122" s="174"/>
      <c r="G122" s="176"/>
      <c r="H122" s="177"/>
      <c r="I122" s="177"/>
      <c r="J122" s="177"/>
      <c r="K122" s="177"/>
      <c r="L122" s="178"/>
      <c r="M122" s="178"/>
      <c r="N122" s="178"/>
      <c r="O122" s="178"/>
      <c r="P122" s="178"/>
      <c r="Q122" s="178"/>
      <c r="R122" s="178"/>
      <c r="S122" s="178"/>
      <c r="T122" s="178"/>
      <c r="U122" s="178"/>
      <c r="V122" s="178"/>
      <c r="W122" s="178"/>
      <c r="X122" s="178"/>
      <c r="Y122" s="178"/>
      <c r="Z122" s="178"/>
      <c r="AA122" s="178"/>
      <c r="AB122" s="178"/>
      <c r="AC122" s="178"/>
      <c r="AD122" s="193"/>
      <c r="AE122" s="193"/>
      <c r="AF122" s="178"/>
      <c r="AG122" s="178"/>
      <c r="AH122" s="179"/>
      <c r="AI122" s="193"/>
      <c r="AJ122" s="178"/>
      <c r="AK122" s="178"/>
      <c r="AL122" s="220"/>
      <c r="AM122" s="220"/>
      <c r="AN122" s="229"/>
      <c r="AO122" s="178"/>
      <c r="AP122" s="178"/>
      <c r="AQ122" s="178"/>
    </row>
    <row r="123" spans="1:43">
      <c r="A123" s="173"/>
      <c r="B123" s="174"/>
      <c r="C123" s="195"/>
      <c r="D123" s="174"/>
      <c r="E123" s="174"/>
      <c r="F123" s="174"/>
      <c r="G123" s="176"/>
      <c r="H123" s="177"/>
      <c r="I123" s="177"/>
      <c r="J123" s="177"/>
      <c r="K123" s="177"/>
      <c r="L123" s="178"/>
      <c r="M123" s="178"/>
      <c r="N123" s="178"/>
      <c r="O123" s="178"/>
      <c r="P123" s="178"/>
      <c r="Q123" s="178"/>
      <c r="R123" s="178"/>
      <c r="S123" s="178"/>
      <c r="T123" s="178"/>
      <c r="U123" s="178"/>
      <c r="V123" s="178"/>
      <c r="W123" s="178"/>
      <c r="X123" s="178"/>
      <c r="Y123" s="178"/>
      <c r="Z123" s="178"/>
      <c r="AA123" s="178"/>
      <c r="AB123" s="178"/>
      <c r="AC123" s="178"/>
      <c r="AD123" s="193"/>
      <c r="AE123" s="193"/>
      <c r="AF123" s="178"/>
      <c r="AG123" s="178"/>
      <c r="AH123" s="179"/>
      <c r="AI123" s="193"/>
      <c r="AJ123" s="178"/>
      <c r="AK123" s="178"/>
      <c r="AL123" s="220"/>
      <c r="AM123" s="220"/>
      <c r="AN123" s="229"/>
      <c r="AO123" s="178"/>
      <c r="AP123" s="178"/>
      <c r="AQ123" s="178"/>
    </row>
    <row r="124" spans="1:43">
      <c r="A124" s="173"/>
      <c r="B124" s="174"/>
      <c r="C124" s="195"/>
      <c r="D124" s="174"/>
      <c r="E124" s="174"/>
      <c r="F124" s="174"/>
      <c r="G124" s="176"/>
      <c r="H124" s="177"/>
      <c r="I124" s="177"/>
      <c r="J124" s="177"/>
      <c r="K124" s="177"/>
      <c r="L124" s="178"/>
      <c r="M124" s="178"/>
      <c r="N124" s="178"/>
      <c r="O124" s="178"/>
      <c r="P124" s="178"/>
      <c r="Q124" s="178"/>
      <c r="R124" s="178"/>
      <c r="S124" s="178"/>
      <c r="T124" s="178"/>
      <c r="U124" s="178"/>
      <c r="V124" s="178"/>
      <c r="W124" s="178"/>
      <c r="X124" s="178"/>
      <c r="Y124" s="178"/>
      <c r="Z124" s="178"/>
      <c r="AA124" s="178"/>
      <c r="AB124" s="178"/>
      <c r="AC124" s="178"/>
      <c r="AD124" s="193"/>
      <c r="AE124" s="193"/>
      <c r="AF124" s="178"/>
      <c r="AG124" s="178"/>
      <c r="AH124" s="179"/>
      <c r="AI124" s="193"/>
      <c r="AJ124" s="178"/>
      <c r="AK124" s="178"/>
      <c r="AL124" s="220"/>
      <c r="AM124" s="220"/>
      <c r="AN124" s="229"/>
      <c r="AO124" s="178"/>
      <c r="AP124" s="178"/>
      <c r="AQ124" s="178"/>
    </row>
    <row r="125" spans="1:43">
      <c r="A125" s="173"/>
      <c r="B125" s="174"/>
      <c r="C125" s="195"/>
      <c r="D125" s="174"/>
      <c r="E125" s="174"/>
      <c r="F125" s="174"/>
      <c r="G125" s="176"/>
      <c r="H125" s="177"/>
      <c r="I125" s="177"/>
      <c r="J125" s="177"/>
      <c r="K125" s="177"/>
      <c r="L125" s="178"/>
      <c r="M125" s="178"/>
      <c r="N125" s="178"/>
      <c r="O125" s="178"/>
      <c r="P125" s="178"/>
      <c r="Q125" s="178"/>
      <c r="R125" s="178"/>
      <c r="S125" s="178"/>
      <c r="T125" s="178"/>
      <c r="U125" s="178"/>
      <c r="V125" s="178"/>
      <c r="W125" s="178"/>
      <c r="X125" s="178"/>
      <c r="Y125" s="178"/>
      <c r="Z125" s="178"/>
      <c r="AA125" s="178"/>
      <c r="AB125" s="178"/>
      <c r="AC125" s="178"/>
      <c r="AD125" s="193"/>
      <c r="AE125" s="193"/>
      <c r="AF125" s="178"/>
      <c r="AG125" s="178"/>
      <c r="AH125" s="179"/>
      <c r="AI125" s="193"/>
      <c r="AJ125" s="178"/>
      <c r="AK125" s="178"/>
      <c r="AL125" s="220"/>
      <c r="AM125" s="220"/>
      <c r="AN125" s="229"/>
      <c r="AO125" s="178"/>
      <c r="AP125" s="178"/>
      <c r="AQ125" s="178"/>
    </row>
    <row r="126" spans="1:43">
      <c r="A126" s="173"/>
      <c r="B126" s="174"/>
      <c r="C126" s="195"/>
      <c r="D126" s="174"/>
      <c r="E126" s="174"/>
      <c r="F126" s="174"/>
      <c r="G126" s="176"/>
      <c r="H126" s="177"/>
      <c r="I126" s="177"/>
      <c r="J126" s="177"/>
      <c r="K126" s="177"/>
      <c r="L126" s="178"/>
      <c r="M126" s="178"/>
      <c r="N126" s="178"/>
      <c r="O126" s="178"/>
      <c r="P126" s="178"/>
      <c r="Q126" s="178"/>
      <c r="R126" s="178"/>
      <c r="S126" s="178"/>
      <c r="T126" s="178"/>
      <c r="U126" s="178"/>
      <c r="V126" s="178"/>
      <c r="W126" s="178"/>
      <c r="X126" s="178"/>
      <c r="Y126" s="178"/>
      <c r="Z126" s="178"/>
      <c r="AA126" s="178"/>
      <c r="AB126" s="178"/>
      <c r="AC126" s="178"/>
      <c r="AD126" s="193"/>
      <c r="AE126" s="193"/>
      <c r="AF126" s="178"/>
      <c r="AG126" s="178"/>
      <c r="AH126" s="179"/>
      <c r="AI126" s="193"/>
      <c r="AJ126" s="178"/>
      <c r="AK126" s="178"/>
      <c r="AL126" s="220"/>
      <c r="AM126" s="220"/>
      <c r="AN126" s="229"/>
      <c r="AO126" s="178"/>
      <c r="AP126" s="178"/>
      <c r="AQ126" s="178"/>
    </row>
    <row r="127" spans="1:43">
      <c r="A127" s="173"/>
      <c r="B127" s="174"/>
      <c r="C127" s="195"/>
      <c r="D127" s="174"/>
      <c r="E127" s="174"/>
      <c r="F127" s="174"/>
      <c r="G127" s="176"/>
      <c r="H127" s="177"/>
      <c r="I127" s="177"/>
      <c r="J127" s="177"/>
      <c r="K127" s="177"/>
      <c r="L127" s="178"/>
      <c r="M127" s="178"/>
      <c r="N127" s="178"/>
      <c r="O127" s="178"/>
      <c r="P127" s="178"/>
      <c r="Q127" s="178"/>
      <c r="R127" s="178"/>
      <c r="S127" s="178"/>
      <c r="T127" s="178"/>
      <c r="U127" s="178"/>
      <c r="V127" s="178"/>
      <c r="W127" s="178"/>
      <c r="X127" s="178"/>
      <c r="Y127" s="178"/>
      <c r="Z127" s="178"/>
      <c r="AA127" s="178"/>
      <c r="AB127" s="178"/>
      <c r="AC127" s="178"/>
      <c r="AD127" s="193"/>
      <c r="AE127" s="193"/>
      <c r="AF127" s="178"/>
      <c r="AG127" s="178"/>
      <c r="AH127" s="179"/>
      <c r="AI127" s="193"/>
      <c r="AJ127" s="178"/>
      <c r="AK127" s="178"/>
      <c r="AL127" s="220"/>
      <c r="AM127" s="220"/>
      <c r="AN127" s="229"/>
      <c r="AO127" s="178"/>
      <c r="AP127" s="178"/>
      <c r="AQ127" s="178"/>
    </row>
    <row r="128" spans="1:43">
      <c r="A128" s="173"/>
      <c r="B128" s="174"/>
      <c r="C128" s="195"/>
      <c r="D128" s="174"/>
      <c r="E128" s="174"/>
      <c r="F128" s="174"/>
      <c r="G128" s="176"/>
      <c r="H128" s="177"/>
      <c r="I128" s="177"/>
      <c r="J128" s="177"/>
      <c r="K128" s="177"/>
      <c r="L128" s="178"/>
      <c r="M128" s="178"/>
      <c r="N128" s="178"/>
      <c r="O128" s="178"/>
      <c r="P128" s="178"/>
      <c r="Q128" s="178"/>
      <c r="R128" s="178"/>
      <c r="S128" s="178"/>
      <c r="T128" s="178"/>
      <c r="U128" s="178"/>
      <c r="V128" s="178"/>
      <c r="W128" s="178"/>
      <c r="X128" s="178"/>
      <c r="Y128" s="178"/>
      <c r="Z128" s="178"/>
      <c r="AA128" s="178"/>
      <c r="AB128" s="178"/>
      <c r="AC128" s="178"/>
      <c r="AD128" s="193"/>
      <c r="AE128" s="193"/>
      <c r="AF128" s="178"/>
      <c r="AG128" s="178"/>
      <c r="AH128" s="179"/>
      <c r="AI128" s="193"/>
      <c r="AJ128" s="178"/>
      <c r="AK128" s="178"/>
      <c r="AL128" s="220"/>
      <c r="AM128" s="220"/>
      <c r="AN128" s="229"/>
      <c r="AO128" s="178"/>
      <c r="AP128" s="178"/>
      <c r="AQ128" s="178"/>
    </row>
    <row r="129" spans="1:43">
      <c r="A129" s="173"/>
      <c r="B129" s="174"/>
      <c r="C129" s="195"/>
      <c r="D129" s="174"/>
      <c r="E129" s="174"/>
      <c r="F129" s="174"/>
      <c r="G129" s="176"/>
      <c r="H129" s="177"/>
      <c r="I129" s="177"/>
      <c r="J129" s="177"/>
      <c r="K129" s="177"/>
      <c r="L129" s="178"/>
      <c r="M129" s="178"/>
      <c r="N129" s="178"/>
      <c r="O129" s="178"/>
      <c r="P129" s="178"/>
      <c r="Q129" s="178"/>
      <c r="R129" s="178"/>
      <c r="S129" s="178"/>
      <c r="T129" s="178"/>
      <c r="U129" s="178"/>
      <c r="V129" s="178"/>
      <c r="W129" s="178"/>
      <c r="X129" s="178"/>
      <c r="Y129" s="178"/>
      <c r="Z129" s="178"/>
      <c r="AA129" s="178"/>
      <c r="AB129" s="178"/>
      <c r="AC129" s="178"/>
      <c r="AD129" s="193"/>
      <c r="AE129" s="193"/>
      <c r="AF129" s="178"/>
      <c r="AG129" s="178"/>
      <c r="AH129" s="179"/>
      <c r="AI129" s="193"/>
      <c r="AJ129" s="178"/>
      <c r="AK129" s="178"/>
      <c r="AL129" s="220"/>
      <c r="AM129" s="220"/>
      <c r="AN129" s="229"/>
      <c r="AO129" s="178"/>
      <c r="AP129" s="178"/>
      <c r="AQ129" s="178"/>
    </row>
    <row r="130" spans="1:43">
      <c r="A130" s="173"/>
      <c r="B130" s="174"/>
      <c r="C130" s="195"/>
      <c r="D130" s="174"/>
      <c r="E130" s="174"/>
      <c r="F130" s="174"/>
      <c r="G130" s="176"/>
      <c r="H130" s="177"/>
      <c r="I130" s="177"/>
      <c r="J130" s="177"/>
      <c r="K130" s="177"/>
      <c r="L130" s="178"/>
      <c r="M130" s="178"/>
      <c r="N130" s="178"/>
      <c r="O130" s="178"/>
      <c r="P130" s="178"/>
      <c r="Q130" s="178"/>
      <c r="R130" s="178"/>
      <c r="S130" s="178"/>
      <c r="T130" s="178"/>
      <c r="U130" s="178"/>
      <c r="V130" s="178"/>
      <c r="W130" s="178"/>
      <c r="X130" s="178"/>
      <c r="Y130" s="178"/>
      <c r="Z130" s="178"/>
      <c r="AA130" s="178"/>
      <c r="AB130" s="178"/>
      <c r="AC130" s="178"/>
      <c r="AD130" s="193"/>
      <c r="AE130" s="193"/>
      <c r="AF130" s="178"/>
      <c r="AG130" s="178"/>
      <c r="AH130" s="179"/>
      <c r="AI130" s="193"/>
      <c r="AJ130" s="178"/>
      <c r="AK130" s="178"/>
      <c r="AL130" s="220"/>
      <c r="AM130" s="220"/>
      <c r="AN130" s="229"/>
      <c r="AO130" s="178"/>
      <c r="AP130" s="178"/>
      <c r="AQ130" s="178"/>
    </row>
    <row r="131" spans="1:43">
      <c r="A131" s="173"/>
      <c r="B131" s="174"/>
      <c r="C131" s="195"/>
      <c r="D131" s="174"/>
      <c r="E131" s="174"/>
      <c r="F131" s="174"/>
      <c r="G131" s="176"/>
      <c r="H131" s="177"/>
      <c r="I131" s="177"/>
      <c r="J131" s="177"/>
      <c r="K131" s="177"/>
      <c r="L131" s="178"/>
      <c r="M131" s="178"/>
      <c r="N131" s="178"/>
      <c r="O131" s="178"/>
      <c r="P131" s="178"/>
      <c r="Q131" s="178"/>
      <c r="R131" s="178"/>
      <c r="S131" s="178"/>
      <c r="T131" s="178"/>
      <c r="U131" s="178"/>
      <c r="V131" s="178"/>
      <c r="W131" s="178"/>
      <c r="X131" s="178"/>
      <c r="Y131" s="178"/>
      <c r="Z131" s="178"/>
      <c r="AA131" s="178"/>
      <c r="AB131" s="178"/>
      <c r="AC131" s="178"/>
      <c r="AD131" s="193"/>
      <c r="AE131" s="193"/>
      <c r="AF131" s="178"/>
      <c r="AG131" s="178"/>
      <c r="AH131" s="179"/>
      <c r="AI131" s="193"/>
      <c r="AJ131" s="178"/>
      <c r="AK131" s="178"/>
      <c r="AL131" s="220"/>
      <c r="AM131" s="220"/>
      <c r="AN131" s="229"/>
      <c r="AO131" s="178"/>
      <c r="AP131" s="178"/>
      <c r="AQ131" s="178"/>
    </row>
    <row r="132" spans="1:43">
      <c r="A132" s="173"/>
      <c r="B132" s="174"/>
      <c r="C132" s="195"/>
      <c r="D132" s="174"/>
      <c r="E132" s="174"/>
      <c r="F132" s="174"/>
      <c r="G132" s="176"/>
      <c r="H132" s="177"/>
      <c r="I132" s="177"/>
      <c r="J132" s="177"/>
      <c r="K132" s="177"/>
      <c r="L132" s="178"/>
      <c r="M132" s="178"/>
      <c r="N132" s="178"/>
      <c r="O132" s="178"/>
      <c r="P132" s="178"/>
      <c r="Q132" s="178"/>
      <c r="R132" s="178"/>
      <c r="S132" s="178"/>
      <c r="T132" s="178"/>
      <c r="U132" s="178"/>
      <c r="V132" s="178"/>
      <c r="W132" s="178"/>
      <c r="X132" s="178"/>
      <c r="Y132" s="178"/>
      <c r="Z132" s="178"/>
      <c r="AA132" s="178"/>
      <c r="AB132" s="178"/>
      <c r="AC132" s="178"/>
      <c r="AD132" s="193"/>
      <c r="AE132" s="193"/>
      <c r="AF132" s="178"/>
      <c r="AG132" s="178"/>
      <c r="AH132" s="179"/>
      <c r="AI132" s="193"/>
      <c r="AJ132" s="178"/>
      <c r="AK132" s="178"/>
      <c r="AL132" s="220"/>
      <c r="AM132" s="220"/>
      <c r="AN132" s="229"/>
      <c r="AO132" s="178"/>
      <c r="AP132" s="178"/>
      <c r="AQ132" s="178"/>
    </row>
    <row r="133" spans="1:43">
      <c r="A133" s="173"/>
      <c r="B133" s="174"/>
      <c r="C133" s="195"/>
      <c r="D133" s="174"/>
      <c r="E133" s="174"/>
      <c r="F133" s="174"/>
      <c r="G133" s="176"/>
      <c r="H133" s="177"/>
      <c r="I133" s="177"/>
      <c r="J133" s="177"/>
      <c r="K133" s="177"/>
      <c r="L133" s="178"/>
      <c r="M133" s="178"/>
      <c r="N133" s="178"/>
      <c r="O133" s="178"/>
      <c r="P133" s="178"/>
      <c r="Q133" s="178"/>
      <c r="R133" s="178"/>
      <c r="S133" s="178"/>
      <c r="T133" s="178"/>
      <c r="U133" s="178"/>
      <c r="V133" s="178"/>
      <c r="W133" s="178"/>
      <c r="X133" s="178"/>
      <c r="Y133" s="178"/>
      <c r="Z133" s="178"/>
      <c r="AA133" s="178"/>
      <c r="AB133" s="178"/>
      <c r="AC133" s="178"/>
      <c r="AD133" s="193"/>
      <c r="AE133" s="193"/>
      <c r="AF133" s="178"/>
      <c r="AG133" s="178"/>
      <c r="AH133" s="179"/>
      <c r="AI133" s="193"/>
      <c r="AJ133" s="178"/>
      <c r="AK133" s="178"/>
      <c r="AL133" s="220"/>
      <c r="AM133" s="220"/>
      <c r="AN133" s="229"/>
      <c r="AO133" s="178"/>
      <c r="AP133" s="178"/>
      <c r="AQ133" s="178"/>
    </row>
    <row r="134" spans="1:43">
      <c r="A134" s="173"/>
      <c r="B134" s="174"/>
      <c r="C134" s="195"/>
      <c r="D134" s="174"/>
      <c r="E134" s="174"/>
      <c r="F134" s="174"/>
      <c r="G134" s="176"/>
      <c r="H134" s="177"/>
      <c r="I134" s="177"/>
      <c r="J134" s="177"/>
      <c r="K134" s="177"/>
      <c r="L134" s="178"/>
      <c r="M134" s="178"/>
      <c r="N134" s="178"/>
      <c r="O134" s="178"/>
      <c r="P134" s="178"/>
      <c r="Q134" s="178"/>
      <c r="R134" s="178"/>
      <c r="S134" s="178"/>
      <c r="T134" s="178"/>
      <c r="U134" s="178"/>
      <c r="V134" s="178"/>
      <c r="W134" s="178"/>
      <c r="X134" s="178"/>
      <c r="Y134" s="178"/>
      <c r="Z134" s="178"/>
      <c r="AA134" s="178"/>
      <c r="AB134" s="178"/>
      <c r="AC134" s="178"/>
      <c r="AD134" s="193"/>
      <c r="AE134" s="193"/>
      <c r="AF134" s="178"/>
      <c r="AG134" s="178"/>
      <c r="AH134" s="179"/>
      <c r="AI134" s="193"/>
      <c r="AJ134" s="178"/>
      <c r="AK134" s="178"/>
      <c r="AL134" s="220"/>
      <c r="AM134" s="220"/>
      <c r="AN134" s="229"/>
      <c r="AO134" s="178"/>
      <c r="AP134" s="178"/>
      <c r="AQ134" s="178"/>
    </row>
    <row r="135" spans="1:43">
      <c r="A135" s="173"/>
      <c r="B135" s="174"/>
      <c r="C135" s="195"/>
      <c r="D135" s="174"/>
      <c r="E135" s="174"/>
      <c r="F135" s="174"/>
      <c r="G135" s="176"/>
      <c r="H135" s="177"/>
      <c r="I135" s="177"/>
      <c r="J135" s="177"/>
      <c r="K135" s="177"/>
      <c r="L135" s="178"/>
      <c r="M135" s="178"/>
      <c r="N135" s="178"/>
      <c r="O135" s="178"/>
      <c r="P135" s="178"/>
      <c r="Q135" s="178"/>
      <c r="R135" s="178"/>
      <c r="S135" s="178"/>
      <c r="T135" s="178"/>
      <c r="U135" s="178"/>
      <c r="V135" s="178"/>
      <c r="W135" s="178"/>
      <c r="X135" s="178"/>
      <c r="Y135" s="178"/>
      <c r="Z135" s="178"/>
      <c r="AA135" s="178"/>
      <c r="AB135" s="178"/>
      <c r="AC135" s="178"/>
      <c r="AD135" s="193"/>
      <c r="AE135" s="193"/>
      <c r="AF135" s="178"/>
      <c r="AG135" s="178"/>
      <c r="AH135" s="179"/>
      <c r="AI135" s="193"/>
      <c r="AJ135" s="178"/>
      <c r="AK135" s="178"/>
      <c r="AL135" s="220"/>
      <c r="AM135" s="220"/>
      <c r="AN135" s="229"/>
      <c r="AO135" s="178"/>
      <c r="AP135" s="178"/>
      <c r="AQ135" s="178"/>
    </row>
    <row r="136" spans="1:43">
      <c r="A136" s="173"/>
      <c r="B136" s="174"/>
      <c r="C136" s="195"/>
      <c r="D136" s="174"/>
      <c r="E136" s="174"/>
      <c r="F136" s="174"/>
      <c r="G136" s="176"/>
      <c r="H136" s="177"/>
      <c r="I136" s="177"/>
      <c r="J136" s="177"/>
      <c r="K136" s="177"/>
      <c r="L136" s="178"/>
      <c r="M136" s="178"/>
      <c r="N136" s="178"/>
      <c r="O136" s="178"/>
      <c r="P136" s="178"/>
      <c r="Q136" s="178"/>
      <c r="R136" s="178"/>
      <c r="S136" s="178"/>
      <c r="T136" s="178"/>
      <c r="U136" s="178"/>
      <c r="V136" s="178"/>
      <c r="W136" s="178"/>
      <c r="X136" s="178"/>
      <c r="Y136" s="178"/>
      <c r="Z136" s="178"/>
      <c r="AA136" s="178"/>
      <c r="AB136" s="178"/>
      <c r="AC136" s="178"/>
      <c r="AD136" s="193"/>
      <c r="AE136" s="193"/>
      <c r="AF136" s="178"/>
      <c r="AG136" s="178"/>
      <c r="AH136" s="179"/>
      <c r="AI136" s="193"/>
      <c r="AJ136" s="178"/>
      <c r="AK136" s="178"/>
      <c r="AL136" s="220"/>
      <c r="AM136" s="220"/>
      <c r="AN136" s="229"/>
      <c r="AO136" s="178"/>
      <c r="AP136" s="178"/>
      <c r="AQ136" s="178"/>
    </row>
    <row r="137" spans="1:43">
      <c r="A137" s="173"/>
      <c r="B137" s="174"/>
      <c r="C137" s="195"/>
      <c r="D137" s="174"/>
      <c r="E137" s="174"/>
      <c r="F137" s="174"/>
      <c r="G137" s="176"/>
      <c r="H137" s="177"/>
      <c r="I137" s="177"/>
      <c r="J137" s="177"/>
      <c r="K137" s="177"/>
      <c r="L137" s="178"/>
      <c r="M137" s="178"/>
      <c r="N137" s="178"/>
      <c r="O137" s="178"/>
      <c r="P137" s="178"/>
      <c r="Q137" s="178"/>
      <c r="R137" s="178"/>
      <c r="S137" s="178"/>
      <c r="T137" s="178"/>
      <c r="U137" s="178"/>
      <c r="V137" s="178"/>
      <c r="W137" s="178"/>
      <c r="X137" s="178"/>
      <c r="Y137" s="178"/>
      <c r="Z137" s="178"/>
      <c r="AA137" s="178"/>
      <c r="AB137" s="178"/>
      <c r="AC137" s="178"/>
      <c r="AD137" s="193"/>
      <c r="AE137" s="193"/>
      <c r="AF137" s="178"/>
      <c r="AG137" s="178"/>
      <c r="AH137" s="179"/>
      <c r="AI137" s="193"/>
      <c r="AJ137" s="178"/>
      <c r="AK137" s="178"/>
      <c r="AL137" s="220"/>
      <c r="AM137" s="220"/>
      <c r="AN137" s="229"/>
      <c r="AO137" s="178"/>
      <c r="AP137" s="178"/>
      <c r="AQ137" s="178"/>
    </row>
    <row r="138" spans="1:43">
      <c r="A138" s="173"/>
      <c r="B138" s="174"/>
      <c r="C138" s="195"/>
      <c r="D138" s="174"/>
      <c r="E138" s="174"/>
      <c r="F138" s="174"/>
      <c r="G138" s="176"/>
      <c r="H138" s="177"/>
      <c r="I138" s="177"/>
      <c r="J138" s="177"/>
      <c r="K138" s="177"/>
      <c r="L138" s="178"/>
      <c r="M138" s="178"/>
      <c r="N138" s="178"/>
      <c r="O138" s="178"/>
      <c r="P138" s="178"/>
      <c r="Q138" s="178"/>
      <c r="R138" s="178"/>
      <c r="S138" s="178"/>
      <c r="T138" s="178"/>
      <c r="U138" s="178"/>
      <c r="V138" s="178"/>
      <c r="W138" s="178"/>
      <c r="X138" s="178"/>
      <c r="Y138" s="178"/>
      <c r="Z138" s="178"/>
      <c r="AA138" s="178"/>
      <c r="AB138" s="178"/>
      <c r="AC138" s="178"/>
      <c r="AD138" s="193"/>
      <c r="AE138" s="193"/>
      <c r="AF138" s="178"/>
      <c r="AG138" s="178"/>
      <c r="AH138" s="179"/>
      <c r="AI138" s="193"/>
      <c r="AJ138" s="178"/>
      <c r="AK138" s="178"/>
      <c r="AL138" s="220"/>
      <c r="AM138" s="220"/>
      <c r="AN138" s="229"/>
      <c r="AO138" s="178"/>
      <c r="AP138" s="178"/>
      <c r="AQ138" s="178"/>
    </row>
    <row r="139" spans="1:43">
      <c r="A139" s="173"/>
      <c r="B139" s="174"/>
      <c r="C139" s="195"/>
      <c r="D139" s="174"/>
      <c r="E139" s="174"/>
      <c r="F139" s="174"/>
      <c r="G139" s="176"/>
      <c r="H139" s="177"/>
      <c r="I139" s="177"/>
      <c r="J139" s="177"/>
      <c r="K139" s="177"/>
      <c r="L139" s="178"/>
      <c r="M139" s="178"/>
      <c r="N139" s="178"/>
      <c r="O139" s="178"/>
      <c r="P139" s="178"/>
      <c r="Q139" s="178"/>
      <c r="R139" s="178"/>
      <c r="S139" s="178"/>
      <c r="T139" s="178"/>
      <c r="U139" s="178"/>
      <c r="V139" s="178"/>
      <c r="W139" s="178"/>
      <c r="X139" s="178"/>
      <c r="Y139" s="178"/>
      <c r="Z139" s="178"/>
      <c r="AA139" s="178"/>
      <c r="AB139" s="178"/>
      <c r="AC139" s="178"/>
      <c r="AD139" s="193"/>
      <c r="AE139" s="193"/>
      <c r="AF139" s="178"/>
      <c r="AG139" s="178"/>
      <c r="AH139" s="179"/>
      <c r="AI139" s="193"/>
      <c r="AJ139" s="178"/>
      <c r="AK139" s="178"/>
      <c r="AL139" s="220"/>
      <c r="AM139" s="220"/>
      <c r="AN139" s="229"/>
      <c r="AO139" s="178"/>
      <c r="AP139" s="178"/>
      <c r="AQ139" s="178"/>
    </row>
    <row r="140" spans="1:43">
      <c r="A140" s="173"/>
      <c r="B140" s="174"/>
      <c r="C140" s="195"/>
      <c r="D140" s="174"/>
      <c r="E140" s="174"/>
      <c r="F140" s="174"/>
      <c r="G140" s="176"/>
      <c r="H140" s="177"/>
      <c r="I140" s="177"/>
      <c r="J140" s="177"/>
      <c r="K140" s="177"/>
      <c r="L140" s="178"/>
      <c r="M140" s="178"/>
      <c r="N140" s="178"/>
      <c r="O140" s="178"/>
      <c r="P140" s="178"/>
      <c r="Q140" s="178"/>
      <c r="R140" s="178"/>
      <c r="S140" s="178"/>
      <c r="T140" s="178"/>
      <c r="U140" s="178"/>
      <c r="V140" s="178"/>
      <c r="W140" s="178"/>
      <c r="X140" s="178"/>
      <c r="Y140" s="178"/>
      <c r="Z140" s="178"/>
      <c r="AA140" s="178"/>
      <c r="AB140" s="178"/>
      <c r="AC140" s="178"/>
      <c r="AD140" s="193"/>
      <c r="AE140" s="193"/>
      <c r="AF140" s="178"/>
      <c r="AG140" s="178"/>
      <c r="AH140" s="179"/>
      <c r="AI140" s="193"/>
      <c r="AJ140" s="178"/>
      <c r="AK140" s="178"/>
      <c r="AL140" s="220"/>
      <c r="AM140" s="220"/>
      <c r="AN140" s="229"/>
      <c r="AO140" s="178"/>
      <c r="AP140" s="178"/>
      <c r="AQ140" s="178"/>
    </row>
    <row r="141" spans="1:43">
      <c r="A141" s="173"/>
      <c r="B141" s="174"/>
      <c r="C141" s="195"/>
      <c r="D141" s="174"/>
      <c r="E141" s="174"/>
      <c r="F141" s="174"/>
      <c r="G141" s="176"/>
      <c r="H141" s="177"/>
      <c r="I141" s="177"/>
      <c r="J141" s="177"/>
      <c r="K141" s="177"/>
      <c r="L141" s="178"/>
      <c r="M141" s="178"/>
      <c r="N141" s="178"/>
      <c r="O141" s="178"/>
      <c r="P141" s="178"/>
      <c r="Q141" s="178"/>
      <c r="R141" s="178"/>
      <c r="S141" s="178"/>
      <c r="T141" s="178"/>
      <c r="U141" s="178"/>
      <c r="V141" s="178"/>
      <c r="W141" s="178"/>
      <c r="X141" s="178"/>
      <c r="Y141" s="178"/>
      <c r="Z141" s="178"/>
      <c r="AA141" s="178"/>
      <c r="AB141" s="178"/>
      <c r="AC141" s="178"/>
      <c r="AD141" s="193"/>
      <c r="AE141" s="193"/>
      <c r="AF141" s="178"/>
      <c r="AG141" s="178"/>
      <c r="AH141" s="179"/>
      <c r="AI141" s="193"/>
      <c r="AJ141" s="178"/>
      <c r="AK141" s="178"/>
      <c r="AL141" s="220"/>
      <c r="AM141" s="220"/>
      <c r="AN141" s="229"/>
      <c r="AO141" s="178"/>
      <c r="AP141" s="178"/>
      <c r="AQ141" s="178"/>
    </row>
    <row r="142" spans="1:43">
      <c r="A142" s="173"/>
      <c r="B142" s="174"/>
      <c r="C142" s="195"/>
      <c r="D142" s="174"/>
      <c r="E142" s="174"/>
      <c r="F142" s="174"/>
      <c r="G142" s="176"/>
      <c r="H142" s="177"/>
      <c r="I142" s="177"/>
      <c r="J142" s="177"/>
      <c r="K142" s="177"/>
      <c r="L142" s="178"/>
      <c r="M142" s="178"/>
      <c r="N142" s="178"/>
      <c r="O142" s="178"/>
      <c r="P142" s="178"/>
      <c r="Q142" s="178"/>
      <c r="R142" s="178"/>
      <c r="S142" s="178"/>
      <c r="T142" s="178"/>
      <c r="U142" s="178"/>
      <c r="V142" s="178"/>
      <c r="W142" s="178"/>
      <c r="X142" s="178"/>
      <c r="Y142" s="178"/>
      <c r="Z142" s="178"/>
      <c r="AA142" s="178"/>
      <c r="AB142" s="178"/>
      <c r="AC142" s="178"/>
      <c r="AD142" s="193"/>
      <c r="AE142" s="193"/>
      <c r="AF142" s="178"/>
      <c r="AG142" s="178"/>
      <c r="AH142" s="179"/>
      <c r="AI142" s="193"/>
      <c r="AJ142" s="178"/>
      <c r="AK142" s="178"/>
      <c r="AL142" s="220"/>
      <c r="AM142" s="220"/>
      <c r="AN142" s="229"/>
      <c r="AO142" s="178"/>
      <c r="AP142" s="178"/>
      <c r="AQ142" s="178"/>
    </row>
    <row r="143" spans="1:43">
      <c r="A143" s="173"/>
      <c r="B143" s="174"/>
      <c r="C143" s="195"/>
      <c r="D143" s="174"/>
      <c r="E143" s="174"/>
      <c r="F143" s="174"/>
      <c r="G143" s="176"/>
      <c r="H143" s="177"/>
      <c r="I143" s="177"/>
      <c r="J143" s="177"/>
      <c r="K143" s="177"/>
      <c r="L143" s="178"/>
      <c r="M143" s="178"/>
      <c r="N143" s="178"/>
      <c r="O143" s="178"/>
      <c r="P143" s="178"/>
      <c r="Q143" s="178"/>
      <c r="R143" s="178"/>
      <c r="S143" s="178"/>
      <c r="T143" s="178"/>
      <c r="U143" s="178"/>
      <c r="V143" s="178"/>
      <c r="W143" s="178"/>
      <c r="X143" s="178"/>
      <c r="Y143" s="178"/>
      <c r="Z143" s="178"/>
      <c r="AA143" s="178"/>
      <c r="AB143" s="178"/>
      <c r="AC143" s="178"/>
      <c r="AD143" s="193"/>
      <c r="AE143" s="193"/>
      <c r="AF143" s="178"/>
      <c r="AG143" s="178"/>
      <c r="AH143" s="179"/>
      <c r="AI143" s="193"/>
      <c r="AJ143" s="178"/>
      <c r="AK143" s="178"/>
      <c r="AL143" s="220"/>
      <c r="AM143" s="220"/>
      <c r="AN143" s="229"/>
      <c r="AO143" s="178"/>
      <c r="AP143" s="178"/>
      <c r="AQ143" s="178"/>
    </row>
    <row r="144" spans="1:43">
      <c r="A144" s="173"/>
      <c r="B144" s="174"/>
      <c r="C144" s="195"/>
      <c r="D144" s="174"/>
      <c r="E144" s="174"/>
      <c r="F144" s="174"/>
      <c r="G144" s="176"/>
      <c r="H144" s="177"/>
      <c r="I144" s="177"/>
      <c r="J144" s="177"/>
      <c r="K144" s="177"/>
      <c r="L144" s="178"/>
      <c r="M144" s="178"/>
      <c r="N144" s="178"/>
      <c r="O144" s="178"/>
      <c r="P144" s="178"/>
      <c r="Q144" s="178"/>
      <c r="R144" s="178"/>
      <c r="S144" s="178"/>
      <c r="T144" s="178"/>
      <c r="U144" s="178"/>
      <c r="V144" s="178"/>
      <c r="W144" s="178"/>
      <c r="X144" s="178"/>
      <c r="Y144" s="178"/>
      <c r="Z144" s="178"/>
      <c r="AA144" s="178"/>
      <c r="AB144" s="178"/>
      <c r="AC144" s="178"/>
      <c r="AD144" s="193"/>
      <c r="AE144" s="193"/>
      <c r="AF144" s="178"/>
      <c r="AG144" s="178"/>
      <c r="AH144" s="179"/>
      <c r="AI144" s="193"/>
      <c r="AJ144" s="178"/>
      <c r="AK144" s="178"/>
      <c r="AL144" s="220"/>
      <c r="AM144" s="220"/>
      <c r="AN144" s="229"/>
      <c r="AO144" s="178"/>
      <c r="AP144" s="178"/>
      <c r="AQ144" s="178"/>
    </row>
    <row r="145" spans="1:43">
      <c r="A145" s="173"/>
      <c r="B145" s="174"/>
      <c r="C145" s="195"/>
      <c r="D145" s="174"/>
      <c r="E145" s="174"/>
      <c r="F145" s="174"/>
      <c r="G145" s="176"/>
      <c r="H145" s="177"/>
      <c r="I145" s="177"/>
      <c r="J145" s="177"/>
      <c r="K145" s="177"/>
      <c r="L145" s="178"/>
      <c r="M145" s="178"/>
      <c r="N145" s="178"/>
      <c r="O145" s="178"/>
      <c r="P145" s="178"/>
      <c r="Q145" s="178"/>
      <c r="R145" s="178"/>
      <c r="S145" s="178"/>
      <c r="T145" s="178"/>
      <c r="U145" s="178"/>
      <c r="V145" s="178"/>
      <c r="W145" s="178"/>
      <c r="X145" s="178"/>
      <c r="Y145" s="178"/>
      <c r="Z145" s="178"/>
      <c r="AA145" s="178"/>
      <c r="AB145" s="178"/>
      <c r="AC145" s="178"/>
      <c r="AD145" s="193"/>
      <c r="AE145" s="193"/>
      <c r="AF145" s="178"/>
      <c r="AG145" s="178"/>
      <c r="AH145" s="179"/>
      <c r="AI145" s="193"/>
      <c r="AJ145" s="178"/>
      <c r="AK145" s="178"/>
      <c r="AL145" s="220"/>
      <c r="AM145" s="220"/>
      <c r="AN145" s="229"/>
      <c r="AO145" s="178"/>
      <c r="AP145" s="178"/>
      <c r="AQ145" s="178"/>
    </row>
    <row r="146" spans="1:43">
      <c r="A146" s="173"/>
      <c r="B146" s="174"/>
      <c r="C146" s="195"/>
      <c r="D146" s="174"/>
      <c r="E146" s="174"/>
      <c r="F146" s="174"/>
      <c r="G146" s="176"/>
      <c r="H146" s="177"/>
      <c r="I146" s="177"/>
      <c r="J146" s="177"/>
      <c r="K146" s="177"/>
      <c r="L146" s="178"/>
      <c r="M146" s="178"/>
      <c r="N146" s="178"/>
      <c r="O146" s="178"/>
      <c r="P146" s="178"/>
      <c r="Q146" s="178"/>
      <c r="R146" s="178"/>
      <c r="S146" s="178"/>
      <c r="T146" s="178"/>
      <c r="U146" s="178"/>
      <c r="V146" s="178"/>
      <c r="W146" s="178"/>
      <c r="X146" s="178"/>
      <c r="Y146" s="178"/>
      <c r="Z146" s="178"/>
      <c r="AA146" s="178"/>
      <c r="AB146" s="178"/>
      <c r="AC146" s="178"/>
      <c r="AD146" s="193"/>
      <c r="AE146" s="193"/>
      <c r="AF146" s="178"/>
      <c r="AG146" s="178"/>
      <c r="AH146" s="179"/>
      <c r="AI146" s="193"/>
      <c r="AJ146" s="178"/>
      <c r="AK146" s="178"/>
      <c r="AL146" s="220"/>
      <c r="AM146" s="220"/>
      <c r="AN146" s="229"/>
      <c r="AO146" s="178"/>
      <c r="AP146" s="178"/>
      <c r="AQ146" s="178"/>
    </row>
    <row r="147" spans="1:43">
      <c r="A147" s="173"/>
      <c r="B147" s="174"/>
      <c r="C147" s="195"/>
      <c r="D147" s="174"/>
      <c r="E147" s="174"/>
      <c r="F147" s="174"/>
      <c r="G147" s="176"/>
      <c r="H147" s="177"/>
      <c r="I147" s="177"/>
      <c r="J147" s="177"/>
      <c r="K147" s="177"/>
      <c r="L147" s="178"/>
      <c r="M147" s="178"/>
      <c r="N147" s="178"/>
      <c r="O147" s="178"/>
      <c r="P147" s="178"/>
      <c r="Q147" s="178"/>
      <c r="R147" s="178"/>
      <c r="S147" s="178"/>
      <c r="T147" s="178"/>
      <c r="U147" s="178"/>
      <c r="V147" s="178"/>
      <c r="W147" s="178"/>
      <c r="X147" s="178"/>
      <c r="Y147" s="178"/>
      <c r="Z147" s="178"/>
      <c r="AA147" s="178"/>
      <c r="AB147" s="178"/>
      <c r="AC147" s="178"/>
      <c r="AD147" s="193"/>
      <c r="AE147" s="193"/>
      <c r="AF147" s="178"/>
      <c r="AG147" s="178"/>
      <c r="AH147" s="179"/>
      <c r="AI147" s="193"/>
      <c r="AJ147" s="178"/>
      <c r="AK147" s="178"/>
      <c r="AL147" s="220"/>
      <c r="AM147" s="220"/>
      <c r="AN147" s="229"/>
      <c r="AO147" s="178"/>
      <c r="AP147" s="178"/>
      <c r="AQ147" s="178"/>
    </row>
    <row r="148" spans="1:43">
      <c r="A148" s="173"/>
      <c r="B148" s="174"/>
      <c r="C148" s="195"/>
      <c r="D148" s="174"/>
      <c r="E148" s="174"/>
      <c r="F148" s="174"/>
      <c r="G148" s="176"/>
      <c r="H148" s="177"/>
      <c r="I148" s="177"/>
      <c r="J148" s="177"/>
      <c r="K148" s="177"/>
      <c r="L148" s="178"/>
      <c r="M148" s="178"/>
      <c r="N148" s="178"/>
      <c r="O148" s="178"/>
      <c r="P148" s="178"/>
      <c r="Q148" s="178"/>
      <c r="R148" s="178"/>
      <c r="S148" s="178"/>
      <c r="T148" s="178"/>
      <c r="U148" s="178"/>
      <c r="V148" s="178"/>
      <c r="W148" s="178"/>
      <c r="X148" s="178"/>
      <c r="Y148" s="178"/>
      <c r="Z148" s="178"/>
      <c r="AA148" s="178"/>
      <c r="AB148" s="178"/>
      <c r="AC148" s="178"/>
      <c r="AD148" s="193"/>
      <c r="AE148" s="193"/>
      <c r="AF148" s="178"/>
      <c r="AG148" s="178"/>
      <c r="AH148" s="179"/>
      <c r="AI148" s="193"/>
      <c r="AJ148" s="178"/>
      <c r="AK148" s="178"/>
      <c r="AL148" s="220"/>
      <c r="AM148" s="220"/>
      <c r="AN148" s="229"/>
      <c r="AO148" s="178"/>
      <c r="AP148" s="178"/>
      <c r="AQ148" s="178"/>
    </row>
    <row r="149" spans="1:43">
      <c r="A149" s="173"/>
      <c r="B149" s="174"/>
      <c r="C149" s="195"/>
      <c r="D149" s="174"/>
      <c r="E149" s="174"/>
      <c r="F149" s="174"/>
      <c r="G149" s="176"/>
      <c r="H149" s="177"/>
      <c r="I149" s="177"/>
      <c r="J149" s="177"/>
      <c r="K149" s="177"/>
      <c r="L149" s="178"/>
      <c r="M149" s="178"/>
      <c r="N149" s="178"/>
      <c r="O149" s="178"/>
      <c r="P149" s="178"/>
      <c r="Q149" s="178"/>
      <c r="R149" s="178"/>
      <c r="S149" s="178"/>
      <c r="T149" s="178"/>
      <c r="U149" s="178"/>
      <c r="V149" s="178"/>
      <c r="W149" s="178"/>
      <c r="X149" s="178"/>
      <c r="Y149" s="178"/>
      <c r="Z149" s="178"/>
      <c r="AA149" s="178"/>
      <c r="AB149" s="178"/>
      <c r="AC149" s="178"/>
      <c r="AD149" s="193"/>
      <c r="AE149" s="193"/>
      <c r="AF149" s="178"/>
      <c r="AG149" s="178"/>
      <c r="AH149" s="179"/>
      <c r="AI149" s="193"/>
      <c r="AJ149" s="178"/>
      <c r="AK149" s="178"/>
      <c r="AL149" s="220"/>
      <c r="AM149" s="220"/>
      <c r="AN149" s="229"/>
      <c r="AO149" s="178"/>
      <c r="AP149" s="178"/>
      <c r="AQ149" s="178"/>
    </row>
    <row r="150" spans="1:43">
      <c r="A150" s="173"/>
      <c r="B150" s="174"/>
      <c r="C150" s="195"/>
      <c r="D150" s="174"/>
      <c r="E150" s="174"/>
      <c r="F150" s="174"/>
      <c r="G150" s="176"/>
      <c r="H150" s="177"/>
      <c r="I150" s="177"/>
      <c r="J150" s="177"/>
      <c r="K150" s="177"/>
      <c r="L150" s="178"/>
      <c r="M150" s="178"/>
      <c r="N150" s="178"/>
      <c r="O150" s="178"/>
      <c r="P150" s="178"/>
      <c r="Q150" s="178"/>
      <c r="R150" s="178"/>
      <c r="S150" s="178"/>
      <c r="T150" s="178"/>
      <c r="U150" s="178"/>
      <c r="V150" s="178"/>
      <c r="W150" s="178"/>
      <c r="X150" s="178"/>
      <c r="Y150" s="178"/>
      <c r="Z150" s="178"/>
      <c r="AA150" s="178"/>
      <c r="AB150" s="178"/>
      <c r="AC150" s="178"/>
      <c r="AD150" s="193"/>
      <c r="AE150" s="193"/>
      <c r="AF150" s="178"/>
      <c r="AG150" s="178"/>
      <c r="AH150" s="179"/>
      <c r="AI150" s="193"/>
      <c r="AJ150" s="178"/>
      <c r="AK150" s="178"/>
      <c r="AL150" s="220"/>
      <c r="AM150" s="220"/>
      <c r="AN150" s="229"/>
      <c r="AO150" s="178"/>
      <c r="AP150" s="178"/>
      <c r="AQ150" s="178"/>
    </row>
    <row r="151" spans="1:43">
      <c r="A151" s="173"/>
      <c r="B151" s="174"/>
      <c r="C151" s="195"/>
      <c r="D151" s="174"/>
      <c r="E151" s="174"/>
      <c r="F151" s="174"/>
      <c r="G151" s="176"/>
      <c r="H151" s="177"/>
      <c r="I151" s="177"/>
      <c r="J151" s="177"/>
      <c r="K151" s="177"/>
      <c r="L151" s="178"/>
      <c r="M151" s="178"/>
      <c r="N151" s="178"/>
      <c r="O151" s="178"/>
      <c r="P151" s="178"/>
      <c r="Q151" s="178"/>
      <c r="R151" s="178"/>
      <c r="S151" s="178"/>
      <c r="T151" s="178"/>
      <c r="U151" s="178"/>
      <c r="V151" s="178"/>
      <c r="W151" s="178"/>
      <c r="X151" s="178"/>
      <c r="Y151" s="178"/>
      <c r="Z151" s="178"/>
      <c r="AA151" s="178"/>
      <c r="AB151" s="178"/>
      <c r="AC151" s="178"/>
      <c r="AD151" s="193"/>
      <c r="AE151" s="193"/>
      <c r="AF151" s="178"/>
      <c r="AG151" s="178"/>
      <c r="AH151" s="179"/>
      <c r="AI151" s="193"/>
      <c r="AJ151" s="178"/>
      <c r="AK151" s="178"/>
      <c r="AL151" s="220"/>
      <c r="AM151" s="220"/>
      <c r="AN151" s="229"/>
      <c r="AO151" s="178"/>
      <c r="AP151" s="178"/>
      <c r="AQ151" s="178"/>
    </row>
    <row r="152" spans="1:43">
      <c r="A152" s="173"/>
      <c r="B152" s="174"/>
      <c r="C152" s="195"/>
      <c r="D152" s="174"/>
      <c r="E152" s="174"/>
      <c r="F152" s="174"/>
      <c r="G152" s="176"/>
      <c r="H152" s="177"/>
      <c r="I152" s="177"/>
      <c r="J152" s="177"/>
      <c r="K152" s="177"/>
      <c r="L152" s="178"/>
      <c r="M152" s="178"/>
      <c r="N152" s="178"/>
      <c r="O152" s="178"/>
      <c r="P152" s="178"/>
      <c r="Q152" s="178"/>
      <c r="R152" s="178"/>
      <c r="S152" s="178"/>
      <c r="T152" s="178"/>
      <c r="U152" s="178"/>
      <c r="V152" s="178"/>
      <c r="W152" s="178"/>
      <c r="X152" s="178"/>
      <c r="Y152" s="178"/>
      <c r="Z152" s="178"/>
      <c r="AA152" s="178"/>
      <c r="AB152" s="178"/>
      <c r="AC152" s="178"/>
      <c r="AD152" s="193"/>
      <c r="AE152" s="193"/>
      <c r="AF152" s="178"/>
      <c r="AG152" s="178"/>
      <c r="AH152" s="179"/>
      <c r="AI152" s="193"/>
      <c r="AJ152" s="178"/>
      <c r="AK152" s="178"/>
      <c r="AL152" s="220"/>
      <c r="AM152" s="220"/>
      <c r="AN152" s="229"/>
      <c r="AO152" s="178"/>
      <c r="AP152" s="178"/>
      <c r="AQ152" s="178"/>
    </row>
    <row r="153" spans="1:43">
      <c r="A153" s="173"/>
      <c r="B153" s="174"/>
      <c r="C153" s="195"/>
      <c r="D153" s="174"/>
      <c r="E153" s="174"/>
      <c r="F153" s="174"/>
      <c r="G153" s="176"/>
      <c r="H153" s="177"/>
      <c r="I153" s="177"/>
      <c r="J153" s="177"/>
      <c r="K153" s="177"/>
      <c r="L153" s="178"/>
      <c r="M153" s="178"/>
      <c r="N153" s="178"/>
      <c r="O153" s="178"/>
      <c r="P153" s="178"/>
      <c r="Q153" s="178"/>
      <c r="R153" s="178"/>
      <c r="S153" s="178"/>
      <c r="T153" s="178"/>
      <c r="U153" s="178"/>
      <c r="V153" s="178"/>
      <c r="W153" s="178"/>
      <c r="X153" s="178"/>
      <c r="Y153" s="178"/>
      <c r="Z153" s="178"/>
      <c r="AA153" s="178"/>
      <c r="AB153" s="178"/>
      <c r="AC153" s="178"/>
      <c r="AD153" s="193"/>
      <c r="AE153" s="193"/>
      <c r="AF153" s="178"/>
      <c r="AG153" s="178"/>
      <c r="AH153" s="179"/>
      <c r="AI153" s="193"/>
      <c r="AJ153" s="178"/>
      <c r="AK153" s="178"/>
      <c r="AL153" s="220"/>
      <c r="AM153" s="220"/>
      <c r="AN153" s="229"/>
      <c r="AO153" s="178"/>
      <c r="AP153" s="178"/>
      <c r="AQ153" s="178"/>
    </row>
    <row r="154" spans="1:43">
      <c r="A154" s="173"/>
      <c r="B154" s="174"/>
      <c r="C154" s="195"/>
      <c r="D154" s="174"/>
      <c r="E154" s="174"/>
      <c r="F154" s="174"/>
      <c r="G154" s="176"/>
      <c r="H154" s="177"/>
      <c r="I154" s="177"/>
      <c r="J154" s="177"/>
      <c r="K154" s="177"/>
      <c r="L154" s="178"/>
      <c r="M154" s="178"/>
      <c r="N154" s="178"/>
      <c r="O154" s="178"/>
      <c r="P154" s="178"/>
      <c r="Q154" s="178"/>
      <c r="R154" s="178"/>
      <c r="S154" s="178"/>
      <c r="T154" s="178"/>
      <c r="U154" s="178"/>
      <c r="V154" s="178"/>
      <c r="W154" s="178"/>
      <c r="X154" s="178"/>
      <c r="Y154" s="178"/>
      <c r="Z154" s="178"/>
      <c r="AA154" s="178"/>
      <c r="AB154" s="178"/>
      <c r="AC154" s="178"/>
      <c r="AD154" s="193"/>
      <c r="AE154" s="193"/>
      <c r="AF154" s="178"/>
      <c r="AG154" s="178"/>
      <c r="AH154" s="179"/>
      <c r="AI154" s="193"/>
      <c r="AJ154" s="178"/>
      <c r="AK154" s="178"/>
      <c r="AL154" s="220"/>
      <c r="AM154" s="220"/>
      <c r="AN154" s="229"/>
      <c r="AO154" s="178"/>
      <c r="AP154" s="178"/>
      <c r="AQ154" s="178"/>
    </row>
    <row r="155" spans="1:43">
      <c r="A155" s="173"/>
      <c r="B155" s="174"/>
      <c r="C155" s="195"/>
      <c r="D155" s="174"/>
      <c r="E155" s="174"/>
      <c r="F155" s="174"/>
      <c r="G155" s="176"/>
      <c r="H155" s="177"/>
      <c r="I155" s="177"/>
      <c r="J155" s="177"/>
      <c r="K155" s="177"/>
      <c r="L155" s="178"/>
      <c r="M155" s="178"/>
      <c r="N155" s="178"/>
      <c r="O155" s="178"/>
      <c r="P155" s="178"/>
      <c r="Q155" s="178"/>
      <c r="R155" s="178"/>
      <c r="S155" s="178"/>
      <c r="T155" s="178"/>
      <c r="U155" s="178"/>
      <c r="V155" s="178"/>
      <c r="W155" s="178"/>
      <c r="X155" s="178"/>
      <c r="Y155" s="178"/>
      <c r="Z155" s="178"/>
      <c r="AA155" s="178"/>
      <c r="AB155" s="178"/>
      <c r="AC155" s="178"/>
      <c r="AD155" s="193"/>
      <c r="AE155" s="193"/>
      <c r="AF155" s="178"/>
      <c r="AG155" s="178"/>
      <c r="AH155" s="179"/>
      <c r="AI155" s="193"/>
      <c r="AJ155" s="178"/>
      <c r="AK155" s="178"/>
      <c r="AL155" s="220"/>
      <c r="AM155" s="220"/>
      <c r="AN155" s="229"/>
      <c r="AO155" s="178"/>
      <c r="AP155" s="178"/>
      <c r="AQ155" s="178"/>
    </row>
    <row r="156" spans="1:43">
      <c r="A156" s="173"/>
      <c r="B156" s="174"/>
      <c r="C156" s="195"/>
      <c r="D156" s="174"/>
      <c r="E156" s="174"/>
      <c r="F156" s="174"/>
      <c r="G156" s="176"/>
      <c r="H156" s="177"/>
      <c r="I156" s="177"/>
      <c r="J156" s="177"/>
      <c r="K156" s="177"/>
      <c r="L156" s="178"/>
      <c r="M156" s="178"/>
      <c r="N156" s="178"/>
      <c r="O156" s="178"/>
      <c r="P156" s="178"/>
      <c r="Q156" s="178"/>
      <c r="R156" s="178"/>
      <c r="S156" s="178"/>
      <c r="T156" s="178"/>
      <c r="U156" s="178"/>
      <c r="V156" s="178"/>
      <c r="W156" s="178"/>
      <c r="X156" s="178"/>
      <c r="Y156" s="178"/>
      <c r="Z156" s="178"/>
      <c r="AA156" s="178"/>
      <c r="AB156" s="178"/>
      <c r="AC156" s="178"/>
      <c r="AD156" s="193"/>
      <c r="AE156" s="193"/>
      <c r="AF156" s="178"/>
      <c r="AG156" s="178"/>
      <c r="AH156" s="179"/>
      <c r="AI156" s="193"/>
      <c r="AJ156" s="178"/>
      <c r="AK156" s="178"/>
      <c r="AL156" s="220"/>
      <c r="AM156" s="220"/>
      <c r="AN156" s="229"/>
      <c r="AO156" s="178"/>
      <c r="AP156" s="178"/>
      <c r="AQ156" s="178"/>
    </row>
    <row r="157" spans="1:43">
      <c r="A157" s="173"/>
      <c r="B157" s="174"/>
      <c r="C157" s="195"/>
      <c r="D157" s="174"/>
      <c r="E157" s="174"/>
      <c r="F157" s="174"/>
      <c r="G157" s="176"/>
      <c r="H157" s="177"/>
      <c r="I157" s="177"/>
      <c r="J157" s="177"/>
      <c r="K157" s="177"/>
      <c r="L157" s="178"/>
      <c r="M157" s="178"/>
      <c r="N157" s="178"/>
      <c r="O157" s="178"/>
      <c r="P157" s="178"/>
      <c r="Q157" s="178"/>
      <c r="R157" s="178"/>
      <c r="S157" s="178"/>
      <c r="T157" s="178"/>
      <c r="U157" s="178"/>
      <c r="V157" s="178"/>
      <c r="W157" s="178"/>
      <c r="X157" s="178"/>
      <c r="Y157" s="178"/>
      <c r="Z157" s="178"/>
      <c r="AA157" s="178"/>
      <c r="AB157" s="178"/>
      <c r="AC157" s="178"/>
      <c r="AD157" s="193"/>
      <c r="AE157" s="193"/>
      <c r="AF157" s="178"/>
      <c r="AG157" s="178"/>
      <c r="AH157" s="179"/>
      <c r="AI157" s="193"/>
      <c r="AJ157" s="178"/>
      <c r="AK157" s="178"/>
      <c r="AL157" s="220"/>
      <c r="AM157" s="220"/>
      <c r="AN157" s="229"/>
      <c r="AO157" s="178"/>
      <c r="AP157" s="178"/>
      <c r="AQ157" s="178"/>
    </row>
    <row r="158" spans="1:43">
      <c r="A158" s="173"/>
      <c r="B158" s="174"/>
      <c r="C158" s="195"/>
      <c r="D158" s="174"/>
      <c r="E158" s="174"/>
      <c r="F158" s="174"/>
      <c r="G158" s="176"/>
      <c r="H158" s="177"/>
      <c r="I158" s="177"/>
      <c r="J158" s="177"/>
      <c r="K158" s="177"/>
      <c r="L158" s="178"/>
      <c r="M158" s="178"/>
      <c r="N158" s="178"/>
      <c r="O158" s="178"/>
      <c r="P158" s="178"/>
      <c r="Q158" s="178"/>
      <c r="R158" s="178"/>
      <c r="S158" s="178"/>
      <c r="T158" s="178"/>
      <c r="U158" s="178"/>
      <c r="V158" s="178"/>
      <c r="W158" s="178"/>
      <c r="X158" s="178"/>
      <c r="Y158" s="178"/>
      <c r="Z158" s="178"/>
      <c r="AA158" s="178"/>
      <c r="AB158" s="178"/>
      <c r="AC158" s="178"/>
      <c r="AD158" s="193"/>
      <c r="AE158" s="193"/>
      <c r="AF158" s="178"/>
      <c r="AG158" s="178"/>
      <c r="AH158" s="179"/>
      <c r="AI158" s="193"/>
      <c r="AJ158" s="178"/>
      <c r="AK158" s="178"/>
      <c r="AL158" s="220"/>
      <c r="AM158" s="220"/>
      <c r="AN158" s="229"/>
      <c r="AO158" s="178"/>
      <c r="AP158" s="178"/>
      <c r="AQ158" s="178"/>
    </row>
    <row r="159" spans="1:43">
      <c r="A159" s="173"/>
      <c r="B159" s="174"/>
      <c r="C159" s="195"/>
      <c r="D159" s="174"/>
      <c r="E159" s="174"/>
      <c r="F159" s="174"/>
      <c r="G159" s="176"/>
      <c r="H159" s="177"/>
      <c r="I159" s="177"/>
      <c r="J159" s="177"/>
      <c r="K159" s="177"/>
      <c r="L159" s="178"/>
      <c r="M159" s="178"/>
      <c r="N159" s="178"/>
      <c r="O159" s="178"/>
      <c r="P159" s="178"/>
      <c r="Q159" s="178"/>
      <c r="R159" s="178"/>
      <c r="S159" s="178"/>
      <c r="T159" s="178"/>
      <c r="U159" s="178"/>
      <c r="V159" s="178"/>
      <c r="W159" s="178"/>
      <c r="X159" s="178"/>
      <c r="Y159" s="178"/>
      <c r="Z159" s="178"/>
      <c r="AA159" s="178"/>
      <c r="AB159" s="178"/>
      <c r="AC159" s="178"/>
      <c r="AD159" s="193"/>
      <c r="AE159" s="193"/>
      <c r="AF159" s="178"/>
      <c r="AG159" s="178"/>
      <c r="AH159" s="179"/>
      <c r="AI159" s="193"/>
      <c r="AJ159" s="178"/>
      <c r="AK159" s="178"/>
      <c r="AL159" s="220"/>
      <c r="AM159" s="220"/>
      <c r="AN159" s="229"/>
      <c r="AO159" s="178"/>
      <c r="AP159" s="178"/>
      <c r="AQ159" s="178"/>
    </row>
    <row r="160" spans="1:43">
      <c r="A160" s="173"/>
      <c r="B160" s="174"/>
      <c r="C160" s="195"/>
      <c r="D160" s="174"/>
      <c r="E160" s="174"/>
      <c r="F160" s="174"/>
      <c r="G160" s="176"/>
      <c r="H160" s="177"/>
      <c r="I160" s="177"/>
      <c r="J160" s="177"/>
      <c r="K160" s="177"/>
      <c r="L160" s="178"/>
      <c r="M160" s="178"/>
      <c r="N160" s="178"/>
      <c r="O160" s="178"/>
      <c r="P160" s="178"/>
      <c r="Q160" s="178"/>
      <c r="R160" s="178"/>
      <c r="S160" s="178"/>
      <c r="T160" s="178"/>
      <c r="U160" s="178"/>
      <c r="V160" s="178"/>
      <c r="W160" s="178"/>
      <c r="X160" s="178"/>
      <c r="Y160" s="178"/>
      <c r="Z160" s="178"/>
      <c r="AA160" s="178"/>
      <c r="AB160" s="178"/>
      <c r="AC160" s="178"/>
      <c r="AD160" s="193"/>
      <c r="AE160" s="193"/>
      <c r="AF160" s="178"/>
      <c r="AG160" s="178"/>
      <c r="AH160" s="179"/>
      <c r="AI160" s="193"/>
      <c r="AJ160" s="178"/>
      <c r="AK160" s="178"/>
      <c r="AL160" s="220"/>
      <c r="AM160" s="220"/>
      <c r="AN160" s="229"/>
      <c r="AO160" s="178"/>
      <c r="AP160" s="178"/>
      <c r="AQ160" s="178"/>
    </row>
    <row r="161" spans="1:43">
      <c r="A161" s="173"/>
      <c r="B161" s="174"/>
      <c r="C161" s="195"/>
      <c r="D161" s="174"/>
      <c r="E161" s="174"/>
      <c r="F161" s="174"/>
      <c r="G161" s="176"/>
      <c r="H161" s="177"/>
      <c r="I161" s="177"/>
      <c r="J161" s="177"/>
      <c r="K161" s="177"/>
      <c r="L161" s="178"/>
      <c r="M161" s="178"/>
      <c r="N161" s="178"/>
      <c r="O161" s="178"/>
      <c r="P161" s="178"/>
      <c r="Q161" s="178"/>
      <c r="R161" s="178"/>
      <c r="S161" s="178"/>
      <c r="T161" s="178"/>
      <c r="U161" s="178"/>
      <c r="V161" s="178"/>
      <c r="W161" s="178"/>
      <c r="X161" s="178"/>
      <c r="Y161" s="178"/>
      <c r="Z161" s="178"/>
      <c r="AA161" s="178"/>
      <c r="AB161" s="178"/>
      <c r="AC161" s="178"/>
      <c r="AD161" s="193"/>
      <c r="AE161" s="193"/>
      <c r="AF161" s="178"/>
      <c r="AG161" s="178"/>
      <c r="AH161" s="179"/>
      <c r="AI161" s="193"/>
      <c r="AJ161" s="178"/>
      <c r="AK161" s="178"/>
      <c r="AL161" s="220"/>
      <c r="AM161" s="220"/>
      <c r="AN161" s="229"/>
      <c r="AO161" s="178"/>
      <c r="AP161" s="178"/>
      <c r="AQ161" s="178"/>
    </row>
    <row r="162" spans="1:43">
      <c r="A162" s="173"/>
      <c r="B162" s="174"/>
      <c r="C162" s="195"/>
      <c r="D162" s="174"/>
      <c r="E162" s="174"/>
      <c r="F162" s="174"/>
      <c r="G162" s="176"/>
      <c r="H162" s="177"/>
      <c r="I162" s="177"/>
      <c r="J162" s="177"/>
      <c r="K162" s="177"/>
      <c r="L162" s="178"/>
      <c r="M162" s="178"/>
      <c r="N162" s="178"/>
      <c r="O162" s="178"/>
      <c r="P162" s="178"/>
      <c r="Q162" s="178"/>
      <c r="R162" s="178"/>
      <c r="S162" s="178"/>
      <c r="T162" s="178"/>
      <c r="U162" s="178"/>
      <c r="V162" s="178"/>
      <c r="W162" s="178"/>
      <c r="X162" s="178"/>
      <c r="Y162" s="178"/>
      <c r="Z162" s="178"/>
      <c r="AA162" s="178"/>
      <c r="AB162" s="178"/>
      <c r="AC162" s="178"/>
      <c r="AD162" s="193"/>
      <c r="AE162" s="193"/>
      <c r="AF162" s="178"/>
      <c r="AG162" s="178"/>
      <c r="AH162" s="179"/>
      <c r="AI162" s="193"/>
      <c r="AJ162" s="178"/>
      <c r="AK162" s="178"/>
      <c r="AL162" s="220"/>
      <c r="AM162" s="220"/>
      <c r="AN162" s="229"/>
      <c r="AO162" s="178"/>
      <c r="AP162" s="178"/>
      <c r="AQ162" s="178"/>
    </row>
    <row r="163" spans="1:43">
      <c r="A163" s="173"/>
      <c r="B163" s="174"/>
      <c r="C163" s="195"/>
      <c r="D163" s="174"/>
      <c r="E163" s="174"/>
      <c r="F163" s="174"/>
      <c r="G163" s="176"/>
      <c r="H163" s="177"/>
      <c r="I163" s="177"/>
      <c r="J163" s="177"/>
      <c r="K163" s="177"/>
      <c r="L163" s="178"/>
      <c r="M163" s="178"/>
      <c r="N163" s="178"/>
      <c r="O163" s="178"/>
      <c r="P163" s="178"/>
      <c r="Q163" s="178"/>
      <c r="R163" s="178"/>
      <c r="S163" s="178"/>
      <c r="T163" s="178"/>
      <c r="U163" s="178"/>
      <c r="V163" s="178"/>
      <c r="W163" s="178"/>
      <c r="X163" s="178"/>
      <c r="Y163" s="178"/>
      <c r="Z163" s="178"/>
      <c r="AA163" s="178"/>
      <c r="AB163" s="178"/>
      <c r="AC163" s="178"/>
      <c r="AD163" s="193"/>
      <c r="AE163" s="193"/>
      <c r="AF163" s="178"/>
      <c r="AG163" s="178"/>
      <c r="AH163" s="179"/>
      <c r="AI163" s="193"/>
      <c r="AJ163" s="178"/>
      <c r="AK163" s="178"/>
      <c r="AL163" s="220"/>
      <c r="AM163" s="220"/>
      <c r="AN163" s="229"/>
      <c r="AO163" s="178"/>
      <c r="AP163" s="178"/>
      <c r="AQ163" s="178"/>
    </row>
    <row r="164" spans="1:43">
      <c r="A164" s="173"/>
      <c r="B164" s="174"/>
      <c r="C164" s="195"/>
      <c r="D164" s="174"/>
      <c r="E164" s="174"/>
      <c r="F164" s="174"/>
      <c r="G164" s="176"/>
      <c r="H164" s="177"/>
      <c r="I164" s="177"/>
      <c r="J164" s="177"/>
      <c r="K164" s="177"/>
      <c r="L164" s="178"/>
      <c r="M164" s="178"/>
      <c r="N164" s="178"/>
      <c r="O164" s="178"/>
      <c r="P164" s="178"/>
      <c r="Q164" s="178"/>
      <c r="R164" s="178"/>
      <c r="S164" s="178"/>
      <c r="T164" s="178"/>
      <c r="U164" s="178"/>
      <c r="V164" s="178"/>
      <c r="W164" s="178"/>
      <c r="X164" s="178"/>
      <c r="Y164" s="178"/>
      <c r="Z164" s="178"/>
      <c r="AA164" s="178"/>
      <c r="AB164" s="178"/>
      <c r="AC164" s="178"/>
      <c r="AD164" s="193"/>
      <c r="AE164" s="193"/>
      <c r="AF164" s="178"/>
      <c r="AG164" s="178"/>
      <c r="AH164" s="179"/>
      <c r="AI164" s="193"/>
      <c r="AJ164" s="178"/>
      <c r="AK164" s="178"/>
      <c r="AL164" s="220"/>
      <c r="AM164" s="220"/>
      <c r="AN164" s="229"/>
      <c r="AO164" s="178"/>
      <c r="AP164" s="178"/>
      <c r="AQ164" s="178"/>
    </row>
    <row r="165" spans="1:43">
      <c r="A165" s="173"/>
      <c r="B165" s="174"/>
      <c r="C165" s="195"/>
      <c r="D165" s="174"/>
      <c r="E165" s="174"/>
      <c r="F165" s="174"/>
      <c r="G165" s="176"/>
      <c r="H165" s="177"/>
      <c r="I165" s="177"/>
      <c r="J165" s="177"/>
      <c r="K165" s="177"/>
      <c r="L165" s="178"/>
      <c r="M165" s="178"/>
      <c r="N165" s="178"/>
      <c r="O165" s="178"/>
      <c r="P165" s="178"/>
      <c r="Q165" s="178"/>
      <c r="R165" s="178"/>
      <c r="S165" s="178"/>
      <c r="T165" s="178"/>
      <c r="U165" s="178"/>
      <c r="V165" s="178"/>
      <c r="W165" s="178"/>
      <c r="X165" s="178"/>
      <c r="Y165" s="178"/>
      <c r="Z165" s="178"/>
      <c r="AA165" s="178"/>
      <c r="AB165" s="178"/>
      <c r="AC165" s="178"/>
      <c r="AD165" s="193"/>
      <c r="AE165" s="193"/>
      <c r="AF165" s="178"/>
      <c r="AG165" s="178"/>
      <c r="AH165" s="179"/>
      <c r="AI165" s="193"/>
      <c r="AJ165" s="178"/>
      <c r="AK165" s="178"/>
      <c r="AL165" s="220"/>
      <c r="AM165" s="220"/>
      <c r="AN165" s="229"/>
      <c r="AO165" s="178"/>
      <c r="AP165" s="178"/>
      <c r="AQ165" s="178"/>
    </row>
    <row r="166" spans="1:43">
      <c r="A166" s="173"/>
      <c r="B166" s="174"/>
      <c r="C166" s="195"/>
      <c r="D166" s="174"/>
      <c r="E166" s="174"/>
      <c r="F166" s="174"/>
      <c r="G166" s="176"/>
      <c r="H166" s="177"/>
      <c r="I166" s="177"/>
      <c r="J166" s="177"/>
      <c r="K166" s="177"/>
      <c r="L166" s="178"/>
      <c r="M166" s="178"/>
      <c r="N166" s="178"/>
      <c r="O166" s="178"/>
      <c r="P166" s="178"/>
      <c r="Q166" s="178"/>
      <c r="R166" s="178"/>
      <c r="S166" s="178"/>
      <c r="T166" s="178"/>
      <c r="U166" s="178"/>
      <c r="V166" s="178"/>
      <c r="W166" s="178"/>
      <c r="X166" s="178"/>
      <c r="Y166" s="178"/>
      <c r="Z166" s="178"/>
      <c r="AA166" s="178"/>
      <c r="AB166" s="178"/>
      <c r="AC166" s="178"/>
      <c r="AD166" s="193"/>
      <c r="AE166" s="193"/>
      <c r="AF166" s="178"/>
      <c r="AG166" s="178"/>
      <c r="AH166" s="179"/>
      <c r="AI166" s="193"/>
      <c r="AJ166" s="178"/>
      <c r="AK166" s="178"/>
      <c r="AL166" s="220"/>
      <c r="AM166" s="220"/>
      <c r="AN166" s="229"/>
      <c r="AO166" s="178"/>
      <c r="AP166" s="178"/>
      <c r="AQ166" s="178"/>
    </row>
    <row r="167" spans="1:43">
      <c r="A167" s="173"/>
      <c r="B167" s="174"/>
      <c r="C167" s="195"/>
      <c r="D167" s="174"/>
      <c r="E167" s="174"/>
      <c r="F167" s="174"/>
      <c r="G167" s="176"/>
      <c r="H167" s="177"/>
      <c r="I167" s="177"/>
      <c r="J167" s="177"/>
      <c r="K167" s="177"/>
      <c r="L167" s="178"/>
      <c r="M167" s="178"/>
      <c r="N167" s="178"/>
      <c r="O167" s="178"/>
      <c r="P167" s="178"/>
      <c r="Q167" s="178"/>
      <c r="R167" s="178"/>
      <c r="S167" s="178"/>
      <c r="T167" s="178"/>
      <c r="U167" s="178"/>
      <c r="V167" s="178"/>
      <c r="W167" s="178"/>
      <c r="X167" s="178"/>
      <c r="Y167" s="178"/>
      <c r="Z167" s="178"/>
      <c r="AA167" s="178"/>
      <c r="AB167" s="178"/>
      <c r="AC167" s="178"/>
      <c r="AD167" s="193"/>
      <c r="AE167" s="193"/>
      <c r="AF167" s="178"/>
      <c r="AG167" s="178"/>
      <c r="AH167" s="179"/>
      <c r="AI167" s="193"/>
      <c r="AJ167" s="178"/>
      <c r="AK167" s="178"/>
      <c r="AL167" s="220"/>
      <c r="AM167" s="220"/>
      <c r="AN167" s="229"/>
      <c r="AO167" s="178"/>
      <c r="AP167" s="178"/>
      <c r="AQ167" s="178"/>
    </row>
    <row r="168" spans="1:43">
      <c r="A168" s="173"/>
      <c r="B168" s="174"/>
      <c r="C168" s="195"/>
      <c r="D168" s="174"/>
      <c r="E168" s="174"/>
      <c r="F168" s="174"/>
      <c r="G168" s="176"/>
      <c r="H168" s="177"/>
      <c r="I168" s="177"/>
      <c r="J168" s="177"/>
      <c r="K168" s="177"/>
      <c r="L168" s="178"/>
      <c r="M168" s="178"/>
      <c r="N168" s="178"/>
      <c r="O168" s="178"/>
      <c r="P168" s="178"/>
      <c r="Q168" s="178"/>
      <c r="R168" s="178"/>
      <c r="S168" s="178"/>
      <c r="T168" s="178"/>
      <c r="U168" s="178"/>
      <c r="V168" s="178"/>
      <c r="W168" s="178"/>
      <c r="X168" s="178"/>
      <c r="Y168" s="178"/>
      <c r="Z168" s="178"/>
      <c r="AA168" s="178"/>
      <c r="AB168" s="178"/>
      <c r="AC168" s="178"/>
      <c r="AD168" s="193"/>
      <c r="AE168" s="193"/>
      <c r="AF168" s="178"/>
      <c r="AG168" s="178"/>
      <c r="AH168" s="179"/>
      <c r="AI168" s="193"/>
      <c r="AJ168" s="178"/>
      <c r="AK168" s="178"/>
      <c r="AL168" s="220"/>
      <c r="AM168" s="220"/>
      <c r="AN168" s="229"/>
      <c r="AO168" s="178"/>
      <c r="AP168" s="178"/>
      <c r="AQ168" s="178"/>
    </row>
    <row r="169" spans="1:43">
      <c r="A169" s="173"/>
      <c r="B169" s="174"/>
      <c r="C169" s="195"/>
      <c r="D169" s="174"/>
      <c r="E169" s="174"/>
      <c r="F169" s="174"/>
      <c r="G169" s="176"/>
      <c r="H169" s="177"/>
      <c r="I169" s="177"/>
      <c r="J169" s="177"/>
      <c r="K169" s="177"/>
      <c r="L169" s="178"/>
      <c r="M169" s="178"/>
      <c r="N169" s="178"/>
      <c r="O169" s="178"/>
      <c r="P169" s="178"/>
      <c r="Q169" s="178"/>
      <c r="R169" s="178"/>
      <c r="S169" s="178"/>
      <c r="T169" s="178"/>
      <c r="U169" s="178"/>
      <c r="V169" s="178"/>
      <c r="W169" s="178"/>
      <c r="X169" s="178"/>
      <c r="Y169" s="178"/>
      <c r="Z169" s="178"/>
      <c r="AA169" s="178"/>
      <c r="AB169" s="178"/>
      <c r="AC169" s="178"/>
      <c r="AD169" s="193"/>
      <c r="AE169" s="193"/>
      <c r="AF169" s="178"/>
      <c r="AG169" s="178"/>
      <c r="AH169" s="179"/>
      <c r="AI169" s="193"/>
      <c r="AJ169" s="178"/>
      <c r="AK169" s="178"/>
      <c r="AL169" s="220"/>
      <c r="AM169" s="220"/>
      <c r="AN169" s="229"/>
      <c r="AO169" s="178"/>
      <c r="AP169" s="178"/>
      <c r="AQ169" s="178"/>
    </row>
    <row r="170" spans="1:43">
      <c r="A170" s="173"/>
      <c r="B170" s="174"/>
      <c r="C170" s="195"/>
      <c r="D170" s="174"/>
      <c r="E170" s="174"/>
      <c r="F170" s="174"/>
      <c r="G170" s="176"/>
      <c r="H170" s="177"/>
      <c r="I170" s="177"/>
      <c r="J170" s="177"/>
      <c r="K170" s="177"/>
      <c r="L170" s="178"/>
      <c r="M170" s="178"/>
      <c r="N170" s="178"/>
      <c r="O170" s="178"/>
      <c r="P170" s="178"/>
      <c r="Q170" s="178"/>
      <c r="R170" s="178"/>
      <c r="S170" s="178"/>
      <c r="T170" s="178"/>
      <c r="U170" s="178"/>
      <c r="V170" s="178"/>
      <c r="W170" s="178"/>
      <c r="X170" s="178"/>
      <c r="Y170" s="178"/>
      <c r="Z170" s="178"/>
      <c r="AA170" s="178"/>
      <c r="AB170" s="178"/>
      <c r="AC170" s="178"/>
      <c r="AD170" s="193"/>
      <c r="AE170" s="193"/>
      <c r="AF170" s="178"/>
      <c r="AG170" s="178"/>
      <c r="AH170" s="179"/>
      <c r="AI170" s="193"/>
      <c r="AJ170" s="178"/>
      <c r="AK170" s="178"/>
      <c r="AL170" s="220"/>
      <c r="AM170" s="220"/>
      <c r="AN170" s="229"/>
      <c r="AO170" s="178"/>
      <c r="AP170" s="178"/>
      <c r="AQ170" s="178"/>
    </row>
    <row r="171" spans="1:43">
      <c r="A171" s="173"/>
      <c r="B171" s="174"/>
      <c r="C171" s="195"/>
      <c r="D171" s="174"/>
      <c r="E171" s="174"/>
      <c r="F171" s="174"/>
      <c r="G171" s="176"/>
      <c r="H171" s="177"/>
      <c r="I171" s="177"/>
      <c r="J171" s="177"/>
      <c r="K171" s="177"/>
      <c r="L171" s="178"/>
      <c r="M171" s="178"/>
      <c r="N171" s="178"/>
      <c r="O171" s="178"/>
      <c r="P171" s="178"/>
      <c r="Q171" s="178"/>
      <c r="R171" s="178"/>
      <c r="S171" s="178"/>
      <c r="T171" s="178"/>
      <c r="U171" s="178"/>
      <c r="V171" s="178"/>
      <c r="W171" s="178"/>
      <c r="X171" s="178"/>
      <c r="Y171" s="178"/>
      <c r="Z171" s="178"/>
      <c r="AA171" s="178"/>
      <c r="AB171" s="178"/>
      <c r="AC171" s="178"/>
      <c r="AD171" s="193"/>
      <c r="AE171" s="193"/>
      <c r="AF171" s="178"/>
      <c r="AG171" s="178"/>
      <c r="AH171" s="179"/>
      <c r="AI171" s="193"/>
      <c r="AJ171" s="178"/>
      <c r="AK171" s="178"/>
      <c r="AL171" s="220"/>
      <c r="AM171" s="220"/>
      <c r="AN171" s="229"/>
      <c r="AO171" s="178"/>
      <c r="AP171" s="178"/>
      <c r="AQ171" s="178"/>
    </row>
    <row r="172" spans="1:43">
      <c r="A172" s="173"/>
      <c r="B172" s="174"/>
      <c r="C172" s="195"/>
      <c r="D172" s="174"/>
      <c r="E172" s="174"/>
      <c r="F172" s="174"/>
      <c r="G172" s="176"/>
      <c r="H172" s="177"/>
      <c r="I172" s="177"/>
      <c r="J172" s="177"/>
      <c r="K172" s="177"/>
      <c r="L172" s="178"/>
      <c r="M172" s="178"/>
      <c r="N172" s="178"/>
      <c r="O172" s="178"/>
      <c r="P172" s="178"/>
      <c r="Q172" s="178"/>
      <c r="R172" s="178"/>
      <c r="S172" s="178"/>
      <c r="T172" s="178"/>
      <c r="U172" s="178"/>
      <c r="V172" s="178"/>
      <c r="W172" s="178"/>
      <c r="X172" s="178"/>
      <c r="Y172" s="178"/>
      <c r="Z172" s="178"/>
      <c r="AA172" s="178"/>
      <c r="AB172" s="178"/>
      <c r="AC172" s="178"/>
      <c r="AD172" s="193"/>
      <c r="AE172" s="193"/>
      <c r="AF172" s="178"/>
      <c r="AG172" s="178"/>
      <c r="AH172" s="179"/>
      <c r="AI172" s="193"/>
      <c r="AJ172" s="178"/>
      <c r="AK172" s="178"/>
      <c r="AL172" s="220"/>
      <c r="AM172" s="220"/>
      <c r="AN172" s="229"/>
      <c r="AO172" s="178"/>
      <c r="AP172" s="178"/>
      <c r="AQ172" s="178"/>
    </row>
    <row r="173" spans="1:43">
      <c r="A173" s="173"/>
      <c r="B173" s="174"/>
      <c r="C173" s="195"/>
      <c r="D173" s="174"/>
      <c r="E173" s="174"/>
      <c r="F173" s="174"/>
      <c r="G173" s="176"/>
      <c r="H173" s="177"/>
      <c r="I173" s="177"/>
      <c r="J173" s="177"/>
      <c r="K173" s="177"/>
      <c r="L173" s="178"/>
      <c r="M173" s="178"/>
      <c r="N173" s="178"/>
      <c r="O173" s="178"/>
      <c r="P173" s="178"/>
      <c r="Q173" s="178"/>
      <c r="R173" s="178"/>
      <c r="S173" s="178"/>
      <c r="T173" s="178"/>
      <c r="U173" s="178"/>
      <c r="V173" s="178"/>
      <c r="W173" s="178"/>
      <c r="X173" s="178"/>
      <c r="Y173" s="178"/>
      <c r="Z173" s="178"/>
      <c r="AA173" s="178"/>
      <c r="AB173" s="178"/>
      <c r="AC173" s="178"/>
      <c r="AD173" s="193"/>
      <c r="AE173" s="193"/>
      <c r="AF173" s="178"/>
      <c r="AG173" s="178"/>
      <c r="AH173" s="179"/>
      <c r="AI173" s="193"/>
      <c r="AJ173" s="178"/>
      <c r="AK173" s="178"/>
      <c r="AL173" s="220"/>
      <c r="AM173" s="220"/>
      <c r="AN173" s="229"/>
      <c r="AO173" s="178"/>
      <c r="AP173" s="178"/>
      <c r="AQ173" s="178"/>
    </row>
    <row r="174" spans="1:43">
      <c r="A174" s="173"/>
      <c r="B174" s="174"/>
      <c r="C174" s="195"/>
      <c r="D174" s="174"/>
      <c r="E174" s="174"/>
      <c r="F174" s="174"/>
      <c r="G174" s="176"/>
      <c r="H174" s="177"/>
      <c r="I174" s="177"/>
      <c r="J174" s="177"/>
      <c r="K174" s="177"/>
      <c r="L174" s="178"/>
      <c r="M174" s="178"/>
      <c r="N174" s="178"/>
      <c r="O174" s="178"/>
      <c r="P174" s="178"/>
      <c r="Q174" s="178"/>
      <c r="R174" s="178"/>
      <c r="S174" s="178"/>
      <c r="T174" s="178"/>
      <c r="U174" s="178"/>
      <c r="V174" s="178"/>
      <c r="W174" s="178"/>
      <c r="X174" s="178"/>
      <c r="Y174" s="178"/>
      <c r="Z174" s="178"/>
      <c r="AA174" s="178"/>
      <c r="AB174" s="178"/>
      <c r="AC174" s="178"/>
      <c r="AD174" s="193"/>
      <c r="AE174" s="193"/>
      <c r="AF174" s="178"/>
      <c r="AG174" s="178"/>
      <c r="AH174" s="179"/>
      <c r="AI174" s="193"/>
      <c r="AJ174" s="178"/>
      <c r="AK174" s="178"/>
      <c r="AL174" s="220"/>
      <c r="AM174" s="220"/>
      <c r="AN174" s="229"/>
      <c r="AO174" s="178"/>
      <c r="AP174" s="178"/>
      <c r="AQ174" s="178"/>
    </row>
    <row r="175" spans="1:43">
      <c r="A175" s="173"/>
      <c r="B175" s="174"/>
      <c r="C175" s="195"/>
      <c r="D175" s="174"/>
      <c r="E175" s="174"/>
      <c r="F175" s="174"/>
      <c r="G175" s="176"/>
      <c r="H175" s="177"/>
      <c r="I175" s="177"/>
      <c r="J175" s="177"/>
      <c r="K175" s="177"/>
      <c r="L175" s="178"/>
      <c r="M175" s="178"/>
      <c r="N175" s="178"/>
      <c r="O175" s="178"/>
      <c r="P175" s="178"/>
      <c r="Q175" s="178"/>
      <c r="R175" s="178"/>
      <c r="S175" s="178"/>
      <c r="T175" s="178"/>
      <c r="U175" s="178"/>
      <c r="V175" s="178"/>
      <c r="W175" s="178"/>
      <c r="X175" s="178"/>
      <c r="Y175" s="178"/>
      <c r="Z175" s="178"/>
      <c r="AA175" s="178"/>
      <c r="AB175" s="178"/>
      <c r="AC175" s="178"/>
      <c r="AD175" s="193"/>
      <c r="AE175" s="193"/>
      <c r="AF175" s="178"/>
      <c r="AG175" s="178"/>
      <c r="AH175" s="179"/>
      <c r="AI175" s="193"/>
      <c r="AJ175" s="178"/>
      <c r="AK175" s="178"/>
      <c r="AL175" s="220"/>
      <c r="AM175" s="220"/>
      <c r="AN175" s="229"/>
      <c r="AO175" s="178"/>
      <c r="AP175" s="178"/>
      <c r="AQ175" s="178"/>
    </row>
    <row r="176" spans="1:43">
      <c r="A176" s="173"/>
      <c r="B176" s="174"/>
      <c r="C176" s="195"/>
      <c r="D176" s="174"/>
      <c r="E176" s="174"/>
      <c r="F176" s="174"/>
      <c r="G176" s="176"/>
      <c r="H176" s="177"/>
      <c r="I176" s="177"/>
      <c r="J176" s="177"/>
      <c r="K176" s="177"/>
      <c r="L176" s="178"/>
      <c r="M176" s="178"/>
      <c r="N176" s="178"/>
      <c r="O176" s="178"/>
      <c r="P176" s="178"/>
      <c r="Q176" s="178"/>
      <c r="R176" s="178"/>
      <c r="S176" s="178"/>
      <c r="T176" s="178"/>
      <c r="U176" s="178"/>
      <c r="V176" s="178"/>
      <c r="W176" s="178"/>
      <c r="X176" s="178"/>
      <c r="Y176" s="178"/>
      <c r="Z176" s="178"/>
      <c r="AA176" s="178"/>
      <c r="AB176" s="178"/>
      <c r="AC176" s="178"/>
      <c r="AD176" s="193"/>
      <c r="AE176" s="193"/>
      <c r="AF176" s="178"/>
      <c r="AG176" s="178"/>
      <c r="AH176" s="179"/>
      <c r="AI176" s="193"/>
      <c r="AJ176" s="178"/>
      <c r="AK176" s="178"/>
      <c r="AL176" s="220"/>
      <c r="AM176" s="220"/>
      <c r="AN176" s="229"/>
      <c r="AO176" s="178"/>
      <c r="AP176" s="178"/>
      <c r="AQ176" s="178"/>
    </row>
    <row r="177" spans="1:43">
      <c r="A177" s="173"/>
      <c r="B177" s="174"/>
      <c r="C177" s="195"/>
      <c r="D177" s="174"/>
      <c r="E177" s="174"/>
      <c r="F177" s="174"/>
      <c r="G177" s="176"/>
      <c r="H177" s="177"/>
      <c r="I177" s="177"/>
      <c r="J177" s="177"/>
      <c r="K177" s="177"/>
      <c r="L177" s="178"/>
      <c r="M177" s="178"/>
      <c r="N177" s="178"/>
      <c r="O177" s="178"/>
      <c r="P177" s="178"/>
      <c r="Q177" s="178"/>
      <c r="R177" s="178"/>
      <c r="S177" s="178"/>
      <c r="T177" s="178"/>
      <c r="U177" s="178"/>
      <c r="V177" s="178"/>
      <c r="W177" s="178"/>
      <c r="X177" s="178"/>
      <c r="Y177" s="178"/>
      <c r="Z177" s="178"/>
      <c r="AA177" s="178"/>
      <c r="AB177" s="178"/>
      <c r="AC177" s="178"/>
      <c r="AD177" s="193"/>
      <c r="AE177" s="193"/>
      <c r="AF177" s="178"/>
      <c r="AG177" s="178"/>
      <c r="AH177" s="179"/>
      <c r="AI177" s="193"/>
      <c r="AJ177" s="178"/>
      <c r="AK177" s="178"/>
      <c r="AL177" s="220"/>
      <c r="AM177" s="220"/>
      <c r="AN177" s="229"/>
      <c r="AO177" s="178"/>
      <c r="AP177" s="178"/>
      <c r="AQ177" s="178"/>
    </row>
    <row r="178" spans="1:43">
      <c r="A178" s="173"/>
      <c r="B178" s="174"/>
      <c r="C178" s="195"/>
      <c r="D178" s="174"/>
      <c r="E178" s="174"/>
      <c r="F178" s="174"/>
      <c r="G178" s="176"/>
      <c r="H178" s="177"/>
      <c r="I178" s="177"/>
      <c r="J178" s="177"/>
      <c r="K178" s="177"/>
      <c r="L178" s="178"/>
      <c r="M178" s="178"/>
      <c r="N178" s="178"/>
      <c r="O178" s="178"/>
      <c r="P178" s="178"/>
      <c r="Q178" s="178"/>
      <c r="R178" s="178"/>
      <c r="S178" s="178"/>
      <c r="T178" s="178"/>
      <c r="U178" s="178"/>
      <c r="V178" s="178"/>
      <c r="W178" s="178"/>
      <c r="X178" s="178"/>
      <c r="Y178" s="178"/>
      <c r="Z178" s="178"/>
      <c r="AA178" s="178"/>
      <c r="AB178" s="178"/>
      <c r="AC178" s="178"/>
      <c r="AD178" s="193"/>
      <c r="AE178" s="193"/>
      <c r="AF178" s="178"/>
      <c r="AG178" s="178"/>
      <c r="AH178" s="179"/>
      <c r="AI178" s="193"/>
      <c r="AJ178" s="178"/>
      <c r="AK178" s="178"/>
      <c r="AL178" s="220"/>
      <c r="AM178" s="220"/>
      <c r="AN178" s="229"/>
      <c r="AO178" s="178"/>
      <c r="AP178" s="178"/>
      <c r="AQ178" s="178"/>
    </row>
    <row r="179" spans="1:43">
      <c r="A179" s="173"/>
      <c r="B179" s="174"/>
      <c r="C179" s="195"/>
      <c r="D179" s="174"/>
      <c r="E179" s="174"/>
      <c r="F179" s="174"/>
      <c r="G179" s="176"/>
      <c r="H179" s="177"/>
      <c r="I179" s="177"/>
      <c r="J179" s="177"/>
      <c r="K179" s="177"/>
      <c r="L179" s="178"/>
      <c r="M179" s="178"/>
      <c r="N179" s="178"/>
      <c r="O179" s="178"/>
      <c r="P179" s="178"/>
      <c r="Q179" s="178"/>
      <c r="R179" s="178"/>
      <c r="S179" s="178"/>
      <c r="T179" s="178"/>
      <c r="U179" s="178"/>
      <c r="V179" s="178"/>
      <c r="W179" s="178"/>
      <c r="X179" s="178"/>
      <c r="Y179" s="178"/>
      <c r="Z179" s="178"/>
      <c r="AA179" s="178"/>
      <c r="AB179" s="178"/>
      <c r="AC179" s="178"/>
      <c r="AD179" s="193"/>
      <c r="AE179" s="193"/>
      <c r="AF179" s="178"/>
      <c r="AG179" s="178"/>
      <c r="AH179" s="179"/>
      <c r="AI179" s="193"/>
      <c r="AJ179" s="178"/>
      <c r="AK179" s="178"/>
      <c r="AL179" s="220"/>
      <c r="AM179" s="220"/>
      <c r="AN179" s="229"/>
      <c r="AO179" s="178"/>
      <c r="AP179" s="178"/>
      <c r="AQ179" s="178"/>
    </row>
    <row r="180" spans="1:43">
      <c r="A180" s="173"/>
      <c r="B180" s="174"/>
      <c r="C180" s="195"/>
      <c r="D180" s="174"/>
      <c r="E180" s="174"/>
      <c r="F180" s="174"/>
      <c r="G180" s="176"/>
      <c r="H180" s="177"/>
      <c r="I180" s="177"/>
      <c r="J180" s="177"/>
      <c r="K180" s="177"/>
      <c r="L180" s="178"/>
      <c r="M180" s="178"/>
      <c r="N180" s="178"/>
      <c r="O180" s="178"/>
      <c r="P180" s="178"/>
      <c r="Q180" s="178"/>
      <c r="R180" s="178"/>
      <c r="S180" s="178"/>
      <c r="T180" s="178"/>
      <c r="U180" s="178"/>
      <c r="V180" s="178"/>
      <c r="W180" s="178"/>
      <c r="X180" s="178"/>
      <c r="Y180" s="178"/>
      <c r="Z180" s="178"/>
      <c r="AA180" s="178"/>
      <c r="AB180" s="178"/>
      <c r="AC180" s="178"/>
      <c r="AD180" s="193"/>
      <c r="AE180" s="193"/>
      <c r="AF180" s="178"/>
      <c r="AG180" s="178"/>
      <c r="AH180" s="179"/>
      <c r="AI180" s="193"/>
      <c r="AJ180" s="178"/>
      <c r="AK180" s="178"/>
      <c r="AL180" s="220"/>
      <c r="AM180" s="220"/>
      <c r="AN180" s="229"/>
      <c r="AO180" s="178"/>
      <c r="AP180" s="178"/>
      <c r="AQ180" s="178"/>
    </row>
    <row r="181" spans="1:43">
      <c r="A181" s="173"/>
      <c r="B181" s="174"/>
      <c r="C181" s="195"/>
      <c r="D181" s="174"/>
      <c r="E181" s="174"/>
      <c r="F181" s="174"/>
      <c r="G181" s="176"/>
      <c r="H181" s="177"/>
      <c r="I181" s="177"/>
      <c r="J181" s="177"/>
      <c r="K181" s="177"/>
      <c r="L181" s="178"/>
      <c r="M181" s="178"/>
      <c r="N181" s="178"/>
      <c r="O181" s="178"/>
      <c r="P181" s="178"/>
      <c r="Q181" s="178"/>
      <c r="R181" s="178"/>
      <c r="S181" s="178"/>
      <c r="T181" s="178"/>
      <c r="U181" s="178"/>
      <c r="V181" s="178"/>
      <c r="W181" s="178"/>
      <c r="X181" s="178"/>
      <c r="Y181" s="178"/>
      <c r="Z181" s="178"/>
      <c r="AA181" s="178"/>
      <c r="AB181" s="178"/>
      <c r="AC181" s="178"/>
      <c r="AD181" s="193"/>
      <c r="AE181" s="193"/>
      <c r="AF181" s="178"/>
      <c r="AG181" s="178"/>
      <c r="AH181" s="179"/>
      <c r="AI181" s="193"/>
      <c r="AJ181" s="178"/>
      <c r="AK181" s="178"/>
      <c r="AL181" s="220"/>
      <c r="AM181" s="220"/>
      <c r="AN181" s="229"/>
      <c r="AO181" s="178"/>
      <c r="AP181" s="178"/>
      <c r="AQ181" s="178"/>
    </row>
    <row r="182" spans="1:43">
      <c r="A182" s="173"/>
      <c r="B182" s="174"/>
      <c r="C182" s="195"/>
      <c r="D182" s="174"/>
      <c r="E182" s="174"/>
      <c r="F182" s="174"/>
      <c r="G182" s="176"/>
      <c r="H182" s="177"/>
      <c r="I182" s="177"/>
      <c r="J182" s="177"/>
      <c r="K182" s="177"/>
      <c r="L182" s="178"/>
      <c r="M182" s="178"/>
      <c r="N182" s="178"/>
      <c r="O182" s="178"/>
      <c r="P182" s="178"/>
      <c r="Q182" s="178"/>
      <c r="R182" s="178"/>
      <c r="S182" s="178"/>
      <c r="T182" s="178"/>
      <c r="U182" s="178"/>
      <c r="V182" s="178"/>
      <c r="W182" s="178"/>
      <c r="X182" s="178"/>
      <c r="Y182" s="178"/>
      <c r="Z182" s="178"/>
      <c r="AA182" s="178"/>
      <c r="AB182" s="178"/>
      <c r="AC182" s="178"/>
      <c r="AD182" s="193"/>
      <c r="AE182" s="193"/>
      <c r="AF182" s="178"/>
      <c r="AG182" s="178"/>
      <c r="AH182" s="179"/>
      <c r="AI182" s="193"/>
      <c r="AJ182" s="178"/>
      <c r="AK182" s="178"/>
      <c r="AL182" s="220"/>
      <c r="AM182" s="220"/>
      <c r="AN182" s="229"/>
      <c r="AO182" s="178"/>
      <c r="AP182" s="178"/>
      <c r="AQ182" s="178"/>
    </row>
    <row r="183" spans="1:43">
      <c r="A183" s="173"/>
      <c r="B183" s="174"/>
      <c r="C183" s="195"/>
      <c r="D183" s="174"/>
      <c r="E183" s="174"/>
      <c r="F183" s="174"/>
      <c r="G183" s="176"/>
      <c r="H183" s="177"/>
      <c r="I183" s="177"/>
      <c r="J183" s="177"/>
      <c r="K183" s="177"/>
      <c r="L183" s="178"/>
      <c r="M183" s="178"/>
      <c r="N183" s="178"/>
      <c r="O183" s="178"/>
      <c r="P183" s="178"/>
      <c r="Q183" s="178"/>
      <c r="R183" s="178"/>
      <c r="S183" s="178"/>
      <c r="T183" s="178"/>
      <c r="U183" s="178"/>
      <c r="V183" s="178"/>
      <c r="W183" s="178"/>
      <c r="X183" s="178"/>
      <c r="Y183" s="178"/>
      <c r="Z183" s="178"/>
      <c r="AA183" s="178"/>
      <c r="AB183" s="178"/>
      <c r="AC183" s="178"/>
      <c r="AD183" s="193"/>
      <c r="AE183" s="193"/>
      <c r="AF183" s="178"/>
      <c r="AG183" s="178"/>
      <c r="AH183" s="179"/>
      <c r="AI183" s="193"/>
      <c r="AJ183" s="178"/>
      <c r="AK183" s="178"/>
      <c r="AL183" s="220"/>
      <c r="AM183" s="220"/>
      <c r="AN183" s="229"/>
      <c r="AO183" s="178"/>
      <c r="AP183" s="178"/>
      <c r="AQ183" s="178"/>
    </row>
    <row r="184" spans="1:43">
      <c r="A184" s="173"/>
      <c r="B184" s="174"/>
      <c r="C184" s="195"/>
      <c r="D184" s="174"/>
      <c r="E184" s="174"/>
      <c r="F184" s="174"/>
      <c r="G184" s="176"/>
      <c r="H184" s="177"/>
      <c r="I184" s="177"/>
      <c r="J184" s="177"/>
      <c r="K184" s="177"/>
      <c r="L184" s="178"/>
      <c r="M184" s="178"/>
      <c r="N184" s="178"/>
      <c r="O184" s="178"/>
      <c r="P184" s="178"/>
      <c r="Q184" s="178"/>
      <c r="R184" s="178"/>
      <c r="S184" s="178"/>
      <c r="T184" s="178"/>
      <c r="U184" s="178"/>
      <c r="V184" s="178"/>
      <c r="W184" s="178"/>
      <c r="X184" s="178"/>
      <c r="Y184" s="178"/>
      <c r="Z184" s="178"/>
      <c r="AA184" s="178"/>
      <c r="AB184" s="178"/>
      <c r="AC184" s="178"/>
      <c r="AD184" s="193"/>
      <c r="AE184" s="193"/>
      <c r="AF184" s="178"/>
      <c r="AG184" s="178"/>
      <c r="AH184" s="179"/>
      <c r="AI184" s="193"/>
      <c r="AJ184" s="178"/>
      <c r="AK184" s="178"/>
      <c r="AL184" s="220"/>
      <c r="AM184" s="220"/>
      <c r="AN184" s="229"/>
      <c r="AO184" s="178"/>
      <c r="AP184" s="178"/>
      <c r="AQ184" s="178"/>
    </row>
    <row r="185" spans="1:43">
      <c r="A185" s="173"/>
      <c r="B185" s="174"/>
      <c r="C185" s="195"/>
      <c r="D185" s="174"/>
      <c r="E185" s="174"/>
      <c r="F185" s="174"/>
      <c r="G185" s="176"/>
      <c r="H185" s="177"/>
      <c r="I185" s="177"/>
      <c r="J185" s="177"/>
      <c r="K185" s="177"/>
      <c r="L185" s="178"/>
      <c r="M185" s="178"/>
      <c r="N185" s="178"/>
      <c r="O185" s="178"/>
      <c r="P185" s="178"/>
      <c r="Q185" s="178"/>
      <c r="R185" s="178"/>
      <c r="S185" s="178"/>
      <c r="T185" s="178"/>
      <c r="U185" s="178"/>
      <c r="V185" s="178"/>
      <c r="W185" s="178"/>
      <c r="X185" s="178"/>
      <c r="Y185" s="178"/>
      <c r="Z185" s="178"/>
      <c r="AA185" s="178"/>
      <c r="AB185" s="178"/>
      <c r="AC185" s="178"/>
      <c r="AD185" s="193"/>
      <c r="AE185" s="193"/>
      <c r="AF185" s="178"/>
      <c r="AG185" s="178"/>
      <c r="AH185" s="179"/>
      <c r="AI185" s="193"/>
      <c r="AJ185" s="178"/>
      <c r="AK185" s="178"/>
      <c r="AL185" s="220"/>
      <c r="AM185" s="220"/>
      <c r="AN185" s="229"/>
      <c r="AO185" s="178"/>
      <c r="AP185" s="178"/>
      <c r="AQ185" s="178"/>
    </row>
    <row r="186" spans="1:43">
      <c r="A186" s="173"/>
      <c r="B186" s="174"/>
      <c r="C186" s="195"/>
      <c r="D186" s="174"/>
      <c r="E186" s="174"/>
      <c r="F186" s="174"/>
      <c r="G186" s="176"/>
      <c r="H186" s="177"/>
      <c r="I186" s="177"/>
      <c r="J186" s="177"/>
      <c r="K186" s="177"/>
      <c r="L186" s="178"/>
      <c r="M186" s="178"/>
      <c r="N186" s="178"/>
      <c r="O186" s="178"/>
      <c r="P186" s="178"/>
      <c r="Q186" s="178"/>
      <c r="R186" s="178"/>
      <c r="S186" s="178"/>
      <c r="T186" s="178"/>
      <c r="U186" s="178"/>
      <c r="V186" s="178"/>
      <c r="W186" s="178"/>
      <c r="X186" s="178"/>
      <c r="Y186" s="178"/>
      <c r="Z186" s="178"/>
      <c r="AA186" s="178"/>
      <c r="AB186" s="178"/>
      <c r="AC186" s="178"/>
      <c r="AD186" s="193"/>
      <c r="AE186" s="193"/>
      <c r="AF186" s="178"/>
      <c r="AG186" s="178"/>
      <c r="AH186" s="179"/>
      <c r="AI186" s="193"/>
      <c r="AJ186" s="178"/>
      <c r="AK186" s="178"/>
      <c r="AL186" s="220"/>
      <c r="AM186" s="220"/>
      <c r="AN186" s="229"/>
      <c r="AO186" s="178"/>
      <c r="AP186" s="178"/>
      <c r="AQ186" s="178"/>
    </row>
    <row r="187" spans="1:43">
      <c r="A187" s="173"/>
      <c r="B187" s="174"/>
      <c r="C187" s="195"/>
      <c r="D187" s="174"/>
      <c r="E187" s="174"/>
      <c r="F187" s="174"/>
      <c r="G187" s="176"/>
      <c r="H187" s="177"/>
      <c r="I187" s="177"/>
      <c r="J187" s="177"/>
      <c r="K187" s="177"/>
      <c r="L187" s="178"/>
      <c r="M187" s="178"/>
      <c r="N187" s="178"/>
      <c r="O187" s="178"/>
      <c r="P187" s="178"/>
      <c r="Q187" s="178"/>
      <c r="R187" s="178"/>
      <c r="S187" s="178"/>
      <c r="T187" s="178"/>
      <c r="U187" s="178"/>
      <c r="V187" s="178"/>
      <c r="W187" s="178"/>
      <c r="X187" s="178"/>
      <c r="Y187" s="178"/>
      <c r="Z187" s="178"/>
      <c r="AA187" s="178"/>
      <c r="AB187" s="178"/>
      <c r="AC187" s="178"/>
      <c r="AD187" s="193"/>
      <c r="AE187" s="193"/>
      <c r="AF187" s="178"/>
      <c r="AG187" s="178"/>
      <c r="AH187" s="179"/>
      <c r="AI187" s="193"/>
      <c r="AJ187" s="178"/>
      <c r="AK187" s="178"/>
      <c r="AL187" s="220"/>
      <c r="AM187" s="220"/>
      <c r="AN187" s="229"/>
      <c r="AO187" s="178"/>
      <c r="AP187" s="178"/>
      <c r="AQ187" s="178"/>
    </row>
    <row r="188" spans="1:43">
      <c r="A188" s="173"/>
      <c r="B188" s="174"/>
      <c r="C188" s="195"/>
      <c r="D188" s="174"/>
      <c r="E188" s="174"/>
      <c r="F188" s="174"/>
      <c r="G188" s="176"/>
      <c r="H188" s="177"/>
      <c r="I188" s="177"/>
      <c r="J188" s="177"/>
      <c r="K188" s="177"/>
      <c r="L188" s="178"/>
      <c r="M188" s="178"/>
      <c r="N188" s="178"/>
      <c r="O188" s="178"/>
      <c r="P188" s="178"/>
      <c r="Q188" s="178"/>
      <c r="R188" s="178"/>
      <c r="S188" s="178"/>
      <c r="T188" s="178"/>
      <c r="U188" s="178"/>
      <c r="V188" s="178"/>
      <c r="W188" s="178"/>
      <c r="X188" s="178"/>
      <c r="Y188" s="178"/>
      <c r="Z188" s="178"/>
      <c r="AA188" s="178"/>
      <c r="AB188" s="178"/>
      <c r="AC188" s="178"/>
      <c r="AD188" s="193"/>
      <c r="AE188" s="193"/>
      <c r="AF188" s="178"/>
      <c r="AG188" s="178"/>
      <c r="AH188" s="179"/>
      <c r="AI188" s="193"/>
      <c r="AJ188" s="178"/>
      <c r="AK188" s="178"/>
      <c r="AL188" s="220"/>
      <c r="AM188" s="220"/>
      <c r="AN188" s="229"/>
      <c r="AO188" s="178"/>
      <c r="AP188" s="178"/>
      <c r="AQ188" s="178"/>
    </row>
    <row r="189" spans="1:43">
      <c r="A189" s="173"/>
      <c r="B189" s="174"/>
      <c r="C189" s="195"/>
      <c r="D189" s="174"/>
      <c r="E189" s="174"/>
      <c r="F189" s="174"/>
      <c r="G189" s="176"/>
      <c r="H189" s="177"/>
      <c r="I189" s="177"/>
      <c r="J189" s="177"/>
      <c r="K189" s="177"/>
      <c r="L189" s="178"/>
      <c r="M189" s="178"/>
      <c r="N189" s="178"/>
      <c r="O189" s="178"/>
      <c r="P189" s="178"/>
      <c r="Q189" s="178"/>
      <c r="R189" s="178"/>
      <c r="S189" s="178"/>
      <c r="T189" s="178"/>
      <c r="U189" s="178"/>
      <c r="V189" s="178"/>
      <c r="W189" s="178"/>
      <c r="X189" s="178"/>
      <c r="Y189" s="178"/>
      <c r="Z189" s="178"/>
      <c r="AA189" s="178"/>
      <c r="AB189" s="178"/>
      <c r="AC189" s="178"/>
      <c r="AD189" s="193"/>
      <c r="AE189" s="193"/>
      <c r="AF189" s="178"/>
      <c r="AG189" s="178"/>
      <c r="AH189" s="179"/>
      <c r="AI189" s="193"/>
      <c r="AJ189" s="178"/>
      <c r="AK189" s="178"/>
      <c r="AL189" s="220"/>
      <c r="AM189" s="220"/>
      <c r="AN189" s="229"/>
      <c r="AO189" s="178"/>
      <c r="AP189" s="178"/>
      <c r="AQ189" s="178"/>
    </row>
    <row r="190" spans="1:43">
      <c r="A190" s="173"/>
      <c r="B190" s="174"/>
      <c r="C190" s="195"/>
      <c r="D190" s="174"/>
      <c r="E190" s="174"/>
      <c r="F190" s="174"/>
      <c r="G190" s="176"/>
      <c r="H190" s="177"/>
      <c r="I190" s="177"/>
      <c r="J190" s="177"/>
      <c r="K190" s="177"/>
      <c r="L190" s="178"/>
      <c r="M190" s="178"/>
      <c r="N190" s="178"/>
      <c r="O190" s="178"/>
      <c r="P190" s="178"/>
      <c r="Q190" s="178"/>
      <c r="R190" s="178"/>
      <c r="S190" s="178"/>
      <c r="T190" s="178"/>
      <c r="U190" s="178"/>
      <c r="V190" s="178"/>
      <c r="W190" s="178"/>
      <c r="X190" s="178"/>
      <c r="Y190" s="178"/>
      <c r="Z190" s="178"/>
      <c r="AA190" s="178"/>
      <c r="AB190" s="178"/>
      <c r="AC190" s="178"/>
      <c r="AD190" s="193"/>
      <c r="AE190" s="193"/>
      <c r="AF190" s="178"/>
      <c r="AG190" s="178"/>
      <c r="AH190" s="179"/>
      <c r="AI190" s="193"/>
      <c r="AJ190" s="178"/>
      <c r="AK190" s="178"/>
      <c r="AL190" s="220"/>
      <c r="AM190" s="220"/>
      <c r="AN190" s="229"/>
      <c r="AO190" s="178"/>
      <c r="AP190" s="178"/>
      <c r="AQ190" s="178"/>
    </row>
    <row r="191" spans="1:43">
      <c r="A191" s="173"/>
      <c r="B191" s="174"/>
      <c r="C191" s="195"/>
      <c r="D191" s="174"/>
      <c r="E191" s="174"/>
      <c r="F191" s="174"/>
      <c r="G191" s="176"/>
      <c r="H191" s="177"/>
      <c r="I191" s="177"/>
      <c r="J191" s="177"/>
      <c r="K191" s="177"/>
      <c r="L191" s="178"/>
      <c r="M191" s="178"/>
      <c r="N191" s="178"/>
      <c r="O191" s="178"/>
      <c r="P191" s="178"/>
      <c r="Q191" s="178"/>
      <c r="R191" s="178"/>
      <c r="S191" s="178"/>
      <c r="T191" s="178"/>
      <c r="U191" s="178"/>
      <c r="V191" s="178"/>
      <c r="W191" s="178"/>
      <c r="X191" s="178"/>
      <c r="Y191" s="178"/>
      <c r="Z191" s="178"/>
      <c r="AA191" s="178"/>
      <c r="AB191" s="178"/>
      <c r="AC191" s="178"/>
      <c r="AD191" s="193"/>
      <c r="AE191" s="193"/>
      <c r="AF191" s="178"/>
      <c r="AG191" s="178"/>
      <c r="AH191" s="179"/>
      <c r="AI191" s="193"/>
      <c r="AJ191" s="178"/>
      <c r="AK191" s="178"/>
      <c r="AL191" s="220"/>
      <c r="AM191" s="220"/>
      <c r="AN191" s="229"/>
      <c r="AO191" s="178"/>
      <c r="AP191" s="178"/>
      <c r="AQ191" s="178"/>
    </row>
    <row r="192" spans="1:43">
      <c r="A192" s="173"/>
      <c r="B192" s="174"/>
      <c r="C192" s="195"/>
      <c r="D192" s="174"/>
      <c r="E192" s="174"/>
      <c r="F192" s="174"/>
      <c r="G192" s="176"/>
      <c r="H192" s="177"/>
      <c r="I192" s="177"/>
      <c r="J192" s="177"/>
      <c r="K192" s="177"/>
      <c r="L192" s="178"/>
      <c r="M192" s="178"/>
      <c r="N192" s="178"/>
      <c r="O192" s="178"/>
      <c r="P192" s="178"/>
      <c r="Q192" s="178"/>
      <c r="R192" s="178"/>
      <c r="S192" s="178"/>
      <c r="T192" s="178"/>
      <c r="U192" s="178"/>
      <c r="V192" s="178"/>
      <c r="W192" s="178"/>
      <c r="X192" s="178"/>
      <c r="Y192" s="178"/>
      <c r="Z192" s="178"/>
      <c r="AA192" s="178"/>
      <c r="AB192" s="178"/>
      <c r="AC192" s="178"/>
      <c r="AD192" s="193"/>
      <c r="AE192" s="193"/>
      <c r="AF192" s="178"/>
      <c r="AG192" s="178"/>
      <c r="AH192" s="179"/>
      <c r="AI192" s="193"/>
      <c r="AJ192" s="178"/>
      <c r="AK192" s="178"/>
      <c r="AL192" s="220"/>
      <c r="AM192" s="220"/>
      <c r="AN192" s="229"/>
      <c r="AO192" s="178"/>
      <c r="AP192" s="178"/>
      <c r="AQ192" s="178"/>
    </row>
    <row r="193" spans="1:43">
      <c r="A193" s="173"/>
      <c r="B193" s="174"/>
      <c r="C193" s="195"/>
      <c r="D193" s="174"/>
      <c r="E193" s="174"/>
      <c r="F193" s="174"/>
      <c r="G193" s="176"/>
      <c r="H193" s="177"/>
      <c r="I193" s="177"/>
      <c r="J193" s="177"/>
      <c r="K193" s="177"/>
      <c r="L193" s="178"/>
      <c r="M193" s="178"/>
      <c r="N193" s="178"/>
      <c r="O193" s="178"/>
      <c r="P193" s="178"/>
      <c r="Q193" s="178"/>
      <c r="R193" s="178"/>
      <c r="S193" s="178"/>
      <c r="T193" s="178"/>
      <c r="U193" s="178"/>
      <c r="V193" s="178"/>
      <c r="W193" s="178"/>
      <c r="X193" s="178"/>
      <c r="Y193" s="178"/>
      <c r="Z193" s="178"/>
      <c r="AA193" s="178"/>
      <c r="AB193" s="178"/>
      <c r="AC193" s="178"/>
      <c r="AD193" s="193"/>
      <c r="AE193" s="193"/>
      <c r="AF193" s="178"/>
      <c r="AG193" s="178"/>
      <c r="AH193" s="179"/>
      <c r="AI193" s="193"/>
      <c r="AJ193" s="178"/>
      <c r="AK193" s="178"/>
      <c r="AL193" s="220"/>
      <c r="AM193" s="220"/>
      <c r="AN193" s="229"/>
      <c r="AO193" s="178"/>
      <c r="AP193" s="178"/>
      <c r="AQ193" s="178"/>
    </row>
    <row r="194" spans="1:43">
      <c r="A194" s="173"/>
      <c r="B194" s="174"/>
      <c r="C194" s="195"/>
      <c r="D194" s="174"/>
      <c r="E194" s="174"/>
      <c r="F194" s="174"/>
      <c r="G194" s="176"/>
      <c r="H194" s="177"/>
      <c r="I194" s="177"/>
      <c r="J194" s="177"/>
      <c r="K194" s="177"/>
      <c r="L194" s="178"/>
      <c r="M194" s="178"/>
      <c r="N194" s="178"/>
      <c r="O194" s="178"/>
      <c r="P194" s="178"/>
      <c r="Q194" s="178"/>
      <c r="R194" s="178"/>
      <c r="S194" s="178"/>
      <c r="T194" s="178"/>
      <c r="U194" s="178"/>
      <c r="V194" s="178"/>
      <c r="W194" s="178"/>
      <c r="X194" s="178"/>
      <c r="Y194" s="178"/>
      <c r="Z194" s="178"/>
      <c r="AA194" s="178"/>
      <c r="AB194" s="178"/>
      <c r="AC194" s="178"/>
      <c r="AD194" s="193"/>
      <c r="AE194" s="193"/>
      <c r="AF194" s="178"/>
      <c r="AG194" s="178"/>
      <c r="AH194" s="179"/>
      <c r="AI194" s="193"/>
      <c r="AJ194" s="178"/>
      <c r="AK194" s="178"/>
      <c r="AL194" s="220"/>
      <c r="AM194" s="220"/>
      <c r="AN194" s="229"/>
      <c r="AO194" s="178"/>
      <c r="AP194" s="178"/>
      <c r="AQ194" s="178"/>
    </row>
    <row r="195" spans="1:43">
      <c r="A195" s="173"/>
      <c r="B195" s="174"/>
      <c r="C195" s="195"/>
      <c r="D195" s="174"/>
      <c r="E195" s="174"/>
      <c r="F195" s="174"/>
      <c r="G195" s="176"/>
      <c r="H195" s="177"/>
      <c r="I195" s="177"/>
      <c r="J195" s="177"/>
      <c r="K195" s="177"/>
      <c r="L195" s="178"/>
      <c r="M195" s="178"/>
      <c r="N195" s="178"/>
      <c r="O195" s="178"/>
      <c r="P195" s="178"/>
      <c r="Q195" s="178"/>
      <c r="R195" s="178"/>
      <c r="S195" s="178"/>
      <c r="T195" s="178"/>
      <c r="U195" s="178"/>
      <c r="V195" s="178"/>
      <c r="W195" s="178"/>
      <c r="X195" s="178"/>
      <c r="Y195" s="178"/>
      <c r="Z195" s="178"/>
      <c r="AA195" s="178"/>
      <c r="AB195" s="178"/>
      <c r="AC195" s="178"/>
      <c r="AD195" s="193"/>
      <c r="AE195" s="193"/>
      <c r="AF195" s="178"/>
      <c r="AG195" s="178"/>
      <c r="AH195" s="179"/>
      <c r="AI195" s="193"/>
      <c r="AJ195" s="178"/>
      <c r="AK195" s="178"/>
      <c r="AL195" s="220"/>
      <c r="AM195" s="220"/>
      <c r="AN195" s="229"/>
      <c r="AO195" s="178"/>
      <c r="AP195" s="178"/>
      <c r="AQ195" s="178"/>
    </row>
    <row r="196" spans="1:43">
      <c r="A196" s="173"/>
      <c r="B196" s="174"/>
      <c r="C196" s="195"/>
      <c r="D196" s="174"/>
      <c r="E196" s="174"/>
      <c r="F196" s="174"/>
      <c r="G196" s="176"/>
      <c r="H196" s="177"/>
      <c r="I196" s="177"/>
      <c r="J196" s="177"/>
      <c r="K196" s="177"/>
      <c r="L196" s="178"/>
      <c r="M196" s="178"/>
      <c r="N196" s="178"/>
      <c r="O196" s="178"/>
      <c r="P196" s="178"/>
      <c r="Q196" s="178"/>
      <c r="R196" s="178"/>
      <c r="S196" s="178"/>
      <c r="T196" s="178"/>
      <c r="U196" s="178"/>
      <c r="V196" s="178"/>
      <c r="W196" s="178"/>
      <c r="X196" s="178"/>
      <c r="Y196" s="178"/>
      <c r="Z196" s="178"/>
      <c r="AA196" s="178"/>
      <c r="AB196" s="178"/>
      <c r="AC196" s="178"/>
      <c r="AD196" s="193"/>
      <c r="AE196" s="193"/>
      <c r="AF196" s="178"/>
      <c r="AG196" s="178"/>
      <c r="AH196" s="179"/>
      <c r="AI196" s="193"/>
      <c r="AJ196" s="178"/>
      <c r="AK196" s="178"/>
      <c r="AL196" s="220"/>
      <c r="AM196" s="220"/>
      <c r="AN196" s="229"/>
      <c r="AO196" s="178"/>
      <c r="AP196" s="178"/>
      <c r="AQ196" s="178"/>
    </row>
    <row r="197" spans="1:43">
      <c r="A197" s="173"/>
      <c r="B197" s="174"/>
      <c r="C197" s="195"/>
      <c r="D197" s="174"/>
      <c r="E197" s="174"/>
      <c r="F197" s="174"/>
      <c r="G197" s="176"/>
      <c r="H197" s="177"/>
      <c r="I197" s="177"/>
      <c r="J197" s="177"/>
      <c r="K197" s="177"/>
      <c r="L197" s="178"/>
      <c r="M197" s="178"/>
      <c r="N197" s="178"/>
      <c r="O197" s="178"/>
      <c r="P197" s="178"/>
      <c r="Q197" s="178"/>
      <c r="R197" s="178"/>
      <c r="S197" s="178"/>
      <c r="T197" s="178"/>
      <c r="U197" s="178"/>
      <c r="V197" s="178"/>
      <c r="W197" s="178"/>
      <c r="X197" s="178"/>
      <c r="Y197" s="178"/>
      <c r="Z197" s="178"/>
      <c r="AA197" s="178"/>
      <c r="AB197" s="178"/>
      <c r="AC197" s="178"/>
      <c r="AD197" s="193"/>
      <c r="AE197" s="193"/>
      <c r="AF197" s="178"/>
      <c r="AG197" s="178"/>
      <c r="AH197" s="179"/>
      <c r="AI197" s="193"/>
      <c r="AJ197" s="178"/>
      <c r="AK197" s="178"/>
      <c r="AL197" s="220"/>
      <c r="AM197" s="220"/>
      <c r="AN197" s="229"/>
      <c r="AO197" s="178"/>
      <c r="AP197" s="178"/>
      <c r="AQ197" s="178"/>
    </row>
    <row r="198" spans="1:43">
      <c r="A198" s="173"/>
      <c r="B198" s="174"/>
      <c r="C198" s="195"/>
      <c r="D198" s="174"/>
      <c r="E198" s="174"/>
      <c r="F198" s="174"/>
      <c r="G198" s="176"/>
      <c r="H198" s="177"/>
      <c r="I198" s="177"/>
      <c r="J198" s="177"/>
      <c r="K198" s="177"/>
      <c r="L198" s="178"/>
      <c r="M198" s="178"/>
      <c r="N198" s="178"/>
      <c r="O198" s="178"/>
      <c r="P198" s="178"/>
      <c r="Q198" s="178"/>
      <c r="R198" s="178"/>
      <c r="S198" s="178"/>
      <c r="T198" s="178"/>
      <c r="U198" s="178"/>
      <c r="V198" s="178"/>
      <c r="W198" s="178"/>
      <c r="X198" s="178"/>
      <c r="Y198" s="178"/>
      <c r="Z198" s="178"/>
      <c r="AA198" s="178"/>
      <c r="AB198" s="178"/>
      <c r="AC198" s="178"/>
      <c r="AD198" s="193"/>
      <c r="AE198" s="193"/>
      <c r="AF198" s="178"/>
      <c r="AG198" s="178"/>
      <c r="AH198" s="179"/>
      <c r="AI198" s="193"/>
      <c r="AJ198" s="178"/>
      <c r="AK198" s="178"/>
      <c r="AL198" s="220"/>
      <c r="AM198" s="220"/>
      <c r="AN198" s="229"/>
      <c r="AO198" s="178"/>
      <c r="AP198" s="178"/>
      <c r="AQ198" s="178"/>
    </row>
    <row r="199" spans="1:43">
      <c r="A199" s="173"/>
      <c r="B199" s="174"/>
      <c r="C199" s="195"/>
      <c r="D199" s="174"/>
      <c r="E199" s="174"/>
      <c r="F199" s="174"/>
      <c r="G199" s="176"/>
      <c r="H199" s="177"/>
      <c r="I199" s="177"/>
      <c r="J199" s="177"/>
      <c r="K199" s="177"/>
      <c r="L199" s="178"/>
      <c r="M199" s="178"/>
      <c r="N199" s="178"/>
      <c r="O199" s="178"/>
      <c r="P199" s="178"/>
      <c r="Q199" s="178"/>
      <c r="R199" s="178"/>
      <c r="S199" s="178"/>
      <c r="T199" s="178"/>
      <c r="U199" s="178"/>
      <c r="V199" s="178"/>
      <c r="W199" s="178"/>
      <c r="X199" s="178"/>
      <c r="Y199" s="178"/>
      <c r="Z199" s="178"/>
      <c r="AA199" s="178"/>
      <c r="AB199" s="178"/>
      <c r="AC199" s="178"/>
      <c r="AD199" s="193"/>
      <c r="AE199" s="193"/>
      <c r="AF199" s="178"/>
      <c r="AG199" s="178"/>
      <c r="AH199" s="179"/>
      <c r="AI199" s="193"/>
      <c r="AJ199" s="178"/>
      <c r="AK199" s="178"/>
      <c r="AL199" s="220"/>
      <c r="AM199" s="220"/>
      <c r="AN199" s="229"/>
      <c r="AO199" s="178"/>
      <c r="AP199" s="178"/>
      <c r="AQ199" s="178"/>
    </row>
    <row r="200" spans="1:43">
      <c r="A200" s="173"/>
      <c r="B200" s="174"/>
      <c r="C200" s="195"/>
      <c r="D200" s="174"/>
      <c r="E200" s="174"/>
      <c r="F200" s="174"/>
      <c r="G200" s="176"/>
      <c r="H200" s="177"/>
      <c r="I200" s="177"/>
      <c r="J200" s="177"/>
      <c r="K200" s="177"/>
      <c r="L200" s="178"/>
      <c r="M200" s="178"/>
      <c r="N200" s="178"/>
      <c r="O200" s="178"/>
      <c r="P200" s="178"/>
      <c r="Q200" s="178"/>
      <c r="R200" s="178"/>
      <c r="S200" s="178"/>
      <c r="T200" s="178"/>
      <c r="U200" s="178"/>
      <c r="V200" s="178"/>
      <c r="W200" s="178"/>
      <c r="X200" s="178"/>
      <c r="Y200" s="178"/>
      <c r="Z200" s="178"/>
      <c r="AA200" s="178"/>
      <c r="AB200" s="178"/>
      <c r="AC200" s="178"/>
      <c r="AD200" s="193"/>
      <c r="AE200" s="193"/>
      <c r="AF200" s="178"/>
      <c r="AG200" s="178"/>
      <c r="AH200" s="179"/>
      <c r="AI200" s="193"/>
      <c r="AJ200" s="178"/>
      <c r="AK200" s="178"/>
      <c r="AL200" s="220"/>
      <c r="AM200" s="220"/>
      <c r="AN200" s="229"/>
      <c r="AO200" s="178"/>
      <c r="AP200" s="178"/>
      <c r="AQ200" s="178"/>
    </row>
    <row r="201" spans="1:43">
      <c r="A201" s="173"/>
      <c r="B201" s="174"/>
      <c r="C201" s="195"/>
      <c r="D201" s="174"/>
      <c r="E201" s="174"/>
      <c r="F201" s="174"/>
      <c r="G201" s="176"/>
      <c r="H201" s="177"/>
      <c r="I201" s="177"/>
      <c r="J201" s="177"/>
      <c r="K201" s="177"/>
      <c r="L201" s="178"/>
      <c r="M201" s="178"/>
      <c r="N201" s="178"/>
      <c r="O201" s="178"/>
      <c r="P201" s="178"/>
      <c r="Q201" s="178"/>
      <c r="R201" s="178"/>
      <c r="S201" s="178"/>
      <c r="T201" s="178"/>
      <c r="U201" s="178"/>
      <c r="V201" s="178"/>
      <c r="W201" s="178"/>
      <c r="X201" s="178"/>
      <c r="Y201" s="178"/>
      <c r="Z201" s="178"/>
      <c r="AA201" s="178"/>
      <c r="AB201" s="178"/>
      <c r="AC201" s="178"/>
      <c r="AD201" s="193"/>
      <c r="AE201" s="193"/>
      <c r="AF201" s="178"/>
      <c r="AG201" s="178"/>
      <c r="AH201" s="179"/>
      <c r="AI201" s="193"/>
      <c r="AJ201" s="178"/>
      <c r="AK201" s="178"/>
      <c r="AL201" s="220"/>
      <c r="AM201" s="220"/>
      <c r="AN201" s="229"/>
      <c r="AO201" s="178"/>
      <c r="AP201" s="178"/>
      <c r="AQ201" s="178"/>
    </row>
    <row r="202" spans="1:43">
      <c r="A202" s="173"/>
      <c r="B202" s="174"/>
      <c r="C202" s="195"/>
      <c r="D202" s="174"/>
      <c r="E202" s="174"/>
      <c r="F202" s="174"/>
      <c r="G202" s="176"/>
      <c r="H202" s="177"/>
      <c r="I202" s="177"/>
      <c r="J202" s="177"/>
      <c r="K202" s="177"/>
      <c r="L202" s="178"/>
      <c r="M202" s="178"/>
      <c r="N202" s="178"/>
      <c r="O202" s="178"/>
      <c r="P202" s="178"/>
      <c r="Q202" s="178"/>
      <c r="R202" s="178"/>
      <c r="S202" s="178"/>
      <c r="T202" s="178"/>
      <c r="U202" s="178"/>
      <c r="V202" s="178"/>
      <c r="W202" s="178"/>
      <c r="X202" s="178"/>
      <c r="Y202" s="178"/>
      <c r="Z202" s="178"/>
      <c r="AA202" s="178"/>
      <c r="AB202" s="178"/>
      <c r="AC202" s="178"/>
      <c r="AD202" s="193"/>
      <c r="AE202" s="193"/>
      <c r="AF202" s="178"/>
      <c r="AG202" s="178"/>
      <c r="AH202" s="179"/>
      <c r="AI202" s="193"/>
      <c r="AJ202" s="178"/>
      <c r="AK202" s="178"/>
      <c r="AL202" s="220"/>
      <c r="AM202" s="220"/>
      <c r="AN202" s="229"/>
      <c r="AO202" s="178"/>
      <c r="AP202" s="178"/>
      <c r="AQ202" s="178"/>
    </row>
    <row r="203" spans="1:43">
      <c r="A203" s="173"/>
      <c r="B203" s="174"/>
      <c r="C203" s="195"/>
      <c r="D203" s="174"/>
      <c r="E203" s="174"/>
      <c r="F203" s="174"/>
      <c r="G203" s="176"/>
      <c r="H203" s="177"/>
      <c r="I203" s="177"/>
      <c r="J203" s="177"/>
      <c r="K203" s="177"/>
      <c r="L203" s="178"/>
      <c r="M203" s="178"/>
      <c r="N203" s="178"/>
      <c r="O203" s="178"/>
      <c r="P203" s="178"/>
      <c r="Q203" s="178"/>
      <c r="R203" s="178"/>
      <c r="S203" s="178"/>
      <c r="T203" s="178"/>
      <c r="U203" s="178"/>
      <c r="V203" s="178"/>
      <c r="W203" s="178"/>
      <c r="X203" s="178"/>
      <c r="Y203" s="178"/>
      <c r="Z203" s="178"/>
      <c r="AA203" s="178"/>
      <c r="AB203" s="178"/>
      <c r="AC203" s="178"/>
      <c r="AD203" s="193"/>
      <c r="AE203" s="193"/>
      <c r="AF203" s="178"/>
      <c r="AG203" s="178"/>
      <c r="AH203" s="179"/>
      <c r="AI203" s="193"/>
      <c r="AJ203" s="178"/>
      <c r="AK203" s="178"/>
      <c r="AL203" s="220"/>
      <c r="AM203" s="220"/>
      <c r="AN203" s="229"/>
      <c r="AO203" s="178"/>
      <c r="AP203" s="178"/>
      <c r="AQ203" s="178"/>
    </row>
    <row r="204" spans="1:43">
      <c r="A204" s="173"/>
      <c r="B204" s="174"/>
      <c r="C204" s="195"/>
      <c r="D204" s="174"/>
      <c r="E204" s="174"/>
      <c r="F204" s="174"/>
      <c r="G204" s="176"/>
      <c r="H204" s="177"/>
      <c r="I204" s="177"/>
      <c r="J204" s="177"/>
      <c r="K204" s="177"/>
      <c r="L204" s="178"/>
      <c r="M204" s="178"/>
      <c r="N204" s="178"/>
      <c r="O204" s="178"/>
      <c r="P204" s="178"/>
      <c r="Q204" s="178"/>
      <c r="R204" s="178"/>
      <c r="S204" s="178"/>
      <c r="T204" s="178"/>
      <c r="U204" s="178"/>
      <c r="V204" s="178"/>
      <c r="W204" s="178"/>
      <c r="X204" s="178"/>
      <c r="Y204" s="178"/>
      <c r="Z204" s="178"/>
      <c r="AA204" s="178"/>
      <c r="AB204" s="178"/>
      <c r="AC204" s="178"/>
      <c r="AD204" s="193"/>
      <c r="AE204" s="193"/>
      <c r="AF204" s="178"/>
      <c r="AG204" s="178"/>
      <c r="AH204" s="179"/>
      <c r="AI204" s="193"/>
      <c r="AJ204" s="178"/>
      <c r="AK204" s="178"/>
      <c r="AL204" s="220"/>
      <c r="AM204" s="220"/>
      <c r="AN204" s="229"/>
      <c r="AO204" s="178"/>
      <c r="AP204" s="178"/>
      <c r="AQ204" s="178"/>
    </row>
    <row r="205" spans="1:43">
      <c r="A205" s="173"/>
      <c r="B205" s="174"/>
      <c r="C205" s="195"/>
      <c r="D205" s="174"/>
      <c r="E205" s="174"/>
      <c r="F205" s="174"/>
      <c r="G205" s="176"/>
      <c r="H205" s="177"/>
      <c r="I205" s="177"/>
      <c r="J205" s="177"/>
      <c r="K205" s="177"/>
      <c r="L205" s="178"/>
      <c r="M205" s="178"/>
      <c r="N205" s="178"/>
      <c r="O205" s="178"/>
      <c r="P205" s="178"/>
      <c r="Q205" s="178"/>
      <c r="R205" s="178"/>
      <c r="S205" s="178"/>
      <c r="T205" s="178"/>
      <c r="U205" s="178"/>
      <c r="V205" s="178"/>
      <c r="W205" s="178"/>
      <c r="X205" s="178"/>
      <c r="Y205" s="178"/>
      <c r="Z205" s="178"/>
      <c r="AA205" s="178"/>
      <c r="AB205" s="178"/>
      <c r="AC205" s="178"/>
      <c r="AD205" s="193"/>
      <c r="AE205" s="193"/>
      <c r="AF205" s="178"/>
      <c r="AG205" s="178"/>
      <c r="AH205" s="179"/>
      <c r="AI205" s="193"/>
      <c r="AJ205" s="178"/>
      <c r="AK205" s="178"/>
      <c r="AL205" s="220"/>
      <c r="AM205" s="220"/>
      <c r="AN205" s="229"/>
      <c r="AO205" s="178"/>
      <c r="AP205" s="178"/>
      <c r="AQ205" s="178"/>
    </row>
    <row r="206" spans="1:43">
      <c r="A206" s="173"/>
      <c r="B206" s="174"/>
      <c r="C206" s="195"/>
      <c r="D206" s="174"/>
      <c r="E206" s="174"/>
      <c r="F206" s="174"/>
      <c r="G206" s="176"/>
      <c r="H206" s="177"/>
      <c r="I206" s="177"/>
      <c r="J206" s="177"/>
      <c r="K206" s="177"/>
      <c r="L206" s="178"/>
      <c r="M206" s="178"/>
      <c r="N206" s="178"/>
      <c r="O206" s="178"/>
      <c r="P206" s="178"/>
      <c r="Q206" s="178"/>
      <c r="R206" s="178"/>
      <c r="S206" s="178"/>
      <c r="T206" s="178"/>
      <c r="U206" s="178"/>
      <c r="V206" s="178"/>
      <c r="W206" s="178"/>
      <c r="X206" s="178"/>
      <c r="Y206" s="178"/>
      <c r="Z206" s="178"/>
      <c r="AA206" s="178"/>
      <c r="AB206" s="178"/>
      <c r="AC206" s="178"/>
      <c r="AD206" s="193"/>
      <c r="AE206" s="193"/>
      <c r="AF206" s="178"/>
      <c r="AG206" s="178"/>
      <c r="AH206" s="179"/>
      <c r="AI206" s="193"/>
      <c r="AJ206" s="178"/>
      <c r="AK206" s="178"/>
      <c r="AL206" s="220"/>
      <c r="AM206" s="220"/>
      <c r="AN206" s="229"/>
      <c r="AO206" s="178"/>
      <c r="AP206" s="178"/>
      <c r="AQ206" s="178"/>
    </row>
    <row r="207" spans="1:43">
      <c r="A207" s="173"/>
      <c r="B207" s="174"/>
      <c r="C207" s="195"/>
      <c r="D207" s="174"/>
      <c r="E207" s="174"/>
      <c r="F207" s="174"/>
      <c r="G207" s="176"/>
      <c r="H207" s="177"/>
      <c r="I207" s="177"/>
      <c r="J207" s="177"/>
      <c r="K207" s="177"/>
      <c r="L207" s="178"/>
      <c r="M207" s="178"/>
      <c r="N207" s="178"/>
      <c r="O207" s="178"/>
      <c r="P207" s="178"/>
      <c r="Q207" s="178"/>
      <c r="R207" s="178"/>
      <c r="S207" s="178"/>
      <c r="T207" s="178"/>
      <c r="U207" s="178"/>
      <c r="V207" s="178"/>
      <c r="W207" s="178"/>
      <c r="X207" s="178"/>
      <c r="Y207" s="178"/>
      <c r="Z207" s="178"/>
      <c r="AA207" s="178"/>
      <c r="AB207" s="178"/>
      <c r="AC207" s="178"/>
      <c r="AD207" s="193"/>
      <c r="AE207" s="193"/>
      <c r="AF207" s="178"/>
      <c r="AG207" s="178"/>
      <c r="AH207" s="179"/>
      <c r="AI207" s="193"/>
      <c r="AJ207" s="178"/>
      <c r="AK207" s="178"/>
      <c r="AL207" s="220"/>
      <c r="AM207" s="220"/>
      <c r="AN207" s="229"/>
      <c r="AO207" s="178"/>
      <c r="AP207" s="178"/>
      <c r="AQ207" s="178"/>
    </row>
    <row r="208" spans="1:43">
      <c r="A208" s="173"/>
      <c r="B208" s="174"/>
      <c r="C208" s="195"/>
      <c r="D208" s="174"/>
      <c r="E208" s="174"/>
      <c r="F208" s="174"/>
      <c r="G208" s="176"/>
      <c r="H208" s="177"/>
      <c r="I208" s="177"/>
      <c r="J208" s="177"/>
      <c r="K208" s="177"/>
      <c r="L208" s="178"/>
      <c r="M208" s="178"/>
      <c r="N208" s="178"/>
      <c r="O208" s="178"/>
      <c r="P208" s="178"/>
      <c r="Q208" s="178"/>
      <c r="R208" s="178"/>
      <c r="S208" s="178"/>
      <c r="T208" s="178"/>
      <c r="U208" s="178"/>
      <c r="V208" s="178"/>
      <c r="W208" s="178"/>
      <c r="X208" s="178"/>
      <c r="Y208" s="178"/>
      <c r="Z208" s="178"/>
      <c r="AA208" s="178"/>
      <c r="AB208" s="178"/>
      <c r="AC208" s="178"/>
      <c r="AD208" s="193"/>
      <c r="AE208" s="193"/>
      <c r="AF208" s="178"/>
      <c r="AG208" s="178"/>
      <c r="AH208" s="179"/>
      <c r="AI208" s="193"/>
      <c r="AJ208" s="178"/>
      <c r="AK208" s="178"/>
      <c r="AL208" s="220"/>
      <c r="AM208" s="220"/>
      <c r="AN208" s="229"/>
      <c r="AO208" s="178"/>
      <c r="AP208" s="178"/>
      <c r="AQ208" s="178"/>
    </row>
    <row r="209" spans="1:43">
      <c r="A209" s="173"/>
      <c r="B209" s="174"/>
      <c r="C209" s="195"/>
      <c r="D209" s="174"/>
      <c r="E209" s="174"/>
      <c r="F209" s="174"/>
      <c r="G209" s="176"/>
      <c r="H209" s="177"/>
      <c r="I209" s="177"/>
      <c r="J209" s="177"/>
      <c r="K209" s="177"/>
      <c r="L209" s="178"/>
      <c r="M209" s="178"/>
      <c r="N209" s="178"/>
      <c r="O209" s="178"/>
      <c r="P209" s="178"/>
      <c r="Q209" s="178"/>
      <c r="R209" s="178"/>
      <c r="S209" s="178"/>
      <c r="T209" s="178"/>
      <c r="U209" s="178"/>
      <c r="V209" s="178"/>
      <c r="W209" s="178"/>
      <c r="X209" s="178"/>
      <c r="Y209" s="178"/>
      <c r="Z209" s="178"/>
      <c r="AA209" s="178"/>
      <c r="AB209" s="178"/>
      <c r="AC209" s="178"/>
      <c r="AD209" s="193"/>
      <c r="AE209" s="193"/>
      <c r="AF209" s="178"/>
      <c r="AG209" s="178"/>
      <c r="AH209" s="179"/>
      <c r="AI209" s="193"/>
      <c r="AJ209" s="178"/>
      <c r="AK209" s="178"/>
      <c r="AL209" s="220"/>
      <c r="AM209" s="220"/>
      <c r="AN209" s="229"/>
      <c r="AO209" s="178"/>
      <c r="AP209" s="178"/>
      <c r="AQ209" s="178"/>
    </row>
    <row r="210" spans="1:43">
      <c r="A210" s="173"/>
      <c r="B210" s="174"/>
      <c r="C210" s="195"/>
      <c r="D210" s="174"/>
      <c r="E210" s="174"/>
      <c r="F210" s="174"/>
      <c r="G210" s="176"/>
      <c r="H210" s="177"/>
      <c r="I210" s="177"/>
      <c r="J210" s="177"/>
      <c r="K210" s="177"/>
      <c r="L210" s="178"/>
      <c r="M210" s="178"/>
      <c r="N210" s="178"/>
      <c r="O210" s="178"/>
      <c r="P210" s="178"/>
      <c r="Q210" s="178"/>
      <c r="R210" s="178"/>
      <c r="S210" s="178"/>
      <c r="T210" s="178"/>
      <c r="U210" s="178"/>
      <c r="V210" s="178"/>
      <c r="W210" s="178"/>
      <c r="X210" s="178"/>
      <c r="Y210" s="178"/>
      <c r="Z210" s="178"/>
      <c r="AA210" s="178"/>
      <c r="AB210" s="178"/>
      <c r="AC210" s="178"/>
      <c r="AD210" s="193"/>
      <c r="AE210" s="193"/>
      <c r="AF210" s="178"/>
      <c r="AG210" s="178"/>
      <c r="AH210" s="179"/>
      <c r="AI210" s="193"/>
      <c r="AJ210" s="178"/>
      <c r="AK210" s="178"/>
      <c r="AL210" s="220"/>
      <c r="AM210" s="220"/>
      <c r="AN210" s="229"/>
      <c r="AO210" s="178"/>
      <c r="AP210" s="178"/>
      <c r="AQ210" s="178"/>
    </row>
    <row r="211" spans="1:43">
      <c r="A211" s="173"/>
      <c r="B211" s="174"/>
      <c r="C211" s="195"/>
      <c r="D211" s="174"/>
      <c r="E211" s="174"/>
      <c r="F211" s="174"/>
      <c r="G211" s="176"/>
      <c r="H211" s="177"/>
      <c r="I211" s="177"/>
      <c r="J211" s="177"/>
      <c r="K211" s="177"/>
      <c r="L211" s="178"/>
      <c r="M211" s="178"/>
      <c r="N211" s="178"/>
      <c r="O211" s="178"/>
      <c r="P211" s="178"/>
      <c r="Q211" s="178"/>
      <c r="R211" s="178"/>
      <c r="S211" s="178"/>
      <c r="T211" s="178"/>
      <c r="U211" s="178"/>
      <c r="V211" s="178"/>
      <c r="W211" s="178"/>
      <c r="X211" s="178"/>
      <c r="Y211" s="178"/>
      <c r="Z211" s="178"/>
      <c r="AA211" s="178"/>
      <c r="AB211" s="178"/>
      <c r="AC211" s="178"/>
      <c r="AD211" s="193"/>
      <c r="AE211" s="193"/>
      <c r="AF211" s="178"/>
      <c r="AG211" s="178"/>
      <c r="AH211" s="179"/>
      <c r="AI211" s="193"/>
      <c r="AJ211" s="178"/>
      <c r="AK211" s="178"/>
      <c r="AL211" s="220"/>
      <c r="AM211" s="220"/>
      <c r="AN211" s="229"/>
      <c r="AO211" s="178"/>
      <c r="AP211" s="178"/>
      <c r="AQ211" s="178"/>
    </row>
    <row r="212" spans="1:43">
      <c r="A212" s="173"/>
      <c r="B212" s="174"/>
      <c r="C212" s="195"/>
      <c r="D212" s="174"/>
      <c r="E212" s="174"/>
      <c r="F212" s="174"/>
      <c r="G212" s="176"/>
      <c r="H212" s="177"/>
      <c r="I212" s="177"/>
      <c r="J212" s="177"/>
      <c r="K212" s="177"/>
      <c r="L212" s="178"/>
      <c r="M212" s="178"/>
      <c r="N212" s="178"/>
      <c r="O212" s="178"/>
      <c r="P212" s="178"/>
      <c r="Q212" s="178"/>
      <c r="R212" s="178"/>
      <c r="S212" s="178"/>
      <c r="T212" s="178"/>
      <c r="U212" s="178"/>
      <c r="V212" s="178"/>
      <c r="W212" s="178"/>
      <c r="X212" s="178"/>
      <c r="Y212" s="178"/>
      <c r="Z212" s="178"/>
      <c r="AA212" s="178"/>
      <c r="AB212" s="178"/>
      <c r="AC212" s="178"/>
      <c r="AD212" s="193"/>
      <c r="AE212" s="193"/>
      <c r="AF212" s="178"/>
      <c r="AG212" s="178"/>
      <c r="AH212" s="179"/>
      <c r="AI212" s="193"/>
      <c r="AJ212" s="178"/>
      <c r="AK212" s="178"/>
      <c r="AL212" s="220"/>
      <c r="AM212" s="220"/>
      <c r="AN212" s="229"/>
      <c r="AO212" s="178"/>
      <c r="AP212" s="178"/>
      <c r="AQ212" s="178"/>
    </row>
    <row r="213" spans="1:43">
      <c r="A213" s="173"/>
      <c r="B213" s="174"/>
      <c r="C213" s="195"/>
      <c r="D213" s="174"/>
      <c r="E213" s="174"/>
      <c r="F213" s="174"/>
      <c r="G213" s="176"/>
      <c r="H213" s="177"/>
      <c r="I213" s="177"/>
      <c r="J213" s="177"/>
      <c r="K213" s="177"/>
      <c r="L213" s="178"/>
      <c r="M213" s="178"/>
      <c r="N213" s="178"/>
      <c r="O213" s="178"/>
      <c r="P213" s="178"/>
      <c r="Q213" s="178"/>
      <c r="R213" s="178"/>
      <c r="S213" s="178"/>
      <c r="T213" s="178"/>
      <c r="U213" s="178"/>
      <c r="V213" s="178"/>
      <c r="W213" s="178"/>
      <c r="X213" s="178"/>
      <c r="Y213" s="178"/>
      <c r="Z213" s="178"/>
      <c r="AA213" s="178"/>
      <c r="AB213" s="178"/>
      <c r="AC213" s="178"/>
      <c r="AD213" s="193"/>
      <c r="AE213" s="193"/>
      <c r="AF213" s="178"/>
      <c r="AG213" s="178"/>
      <c r="AH213" s="179"/>
      <c r="AI213" s="193"/>
      <c r="AJ213" s="178"/>
      <c r="AK213" s="178"/>
      <c r="AL213" s="220"/>
      <c r="AM213" s="220"/>
      <c r="AN213" s="229"/>
      <c r="AO213" s="178"/>
      <c r="AP213" s="178"/>
      <c r="AQ213" s="178"/>
    </row>
    <row r="214" spans="1:43">
      <c r="A214" s="173"/>
      <c r="B214" s="174"/>
      <c r="C214" s="195"/>
      <c r="D214" s="174"/>
      <c r="E214" s="174"/>
      <c r="F214" s="174"/>
      <c r="G214" s="176"/>
      <c r="H214" s="177"/>
      <c r="I214" s="177"/>
      <c r="J214" s="177"/>
      <c r="K214" s="177"/>
      <c r="L214" s="178"/>
      <c r="M214" s="178"/>
      <c r="N214" s="178"/>
      <c r="O214" s="178"/>
      <c r="P214" s="178"/>
      <c r="Q214" s="178"/>
      <c r="R214" s="178"/>
      <c r="S214" s="178"/>
      <c r="T214" s="178"/>
      <c r="U214" s="178"/>
      <c r="V214" s="178"/>
      <c r="W214" s="178"/>
      <c r="X214" s="178"/>
      <c r="Y214" s="178"/>
      <c r="Z214" s="178"/>
      <c r="AA214" s="178"/>
      <c r="AB214" s="178"/>
      <c r="AC214" s="178"/>
      <c r="AD214" s="193"/>
      <c r="AE214" s="193"/>
      <c r="AF214" s="178"/>
      <c r="AG214" s="178"/>
      <c r="AH214" s="179"/>
      <c r="AI214" s="193"/>
      <c r="AJ214" s="178"/>
      <c r="AK214" s="178"/>
      <c r="AL214" s="220"/>
      <c r="AM214" s="220"/>
      <c r="AN214" s="229"/>
      <c r="AO214" s="178"/>
      <c r="AP214" s="178"/>
      <c r="AQ214" s="178"/>
    </row>
    <row r="215" spans="1:43">
      <c r="A215" s="173"/>
      <c r="B215" s="174"/>
      <c r="C215" s="195"/>
      <c r="D215" s="174"/>
      <c r="E215" s="174"/>
      <c r="F215" s="174"/>
      <c r="G215" s="176"/>
      <c r="H215" s="177"/>
      <c r="I215" s="177"/>
      <c r="J215" s="177"/>
      <c r="K215" s="177"/>
      <c r="L215" s="178"/>
      <c r="M215" s="178"/>
      <c r="N215" s="178"/>
      <c r="O215" s="178"/>
      <c r="P215" s="178"/>
      <c r="Q215" s="178"/>
      <c r="R215" s="178"/>
      <c r="S215" s="178"/>
      <c r="T215" s="178"/>
      <c r="U215" s="178"/>
      <c r="V215" s="178"/>
      <c r="W215" s="178"/>
      <c r="X215" s="178"/>
      <c r="Y215" s="178"/>
      <c r="Z215" s="178"/>
      <c r="AA215" s="178"/>
      <c r="AB215" s="178"/>
      <c r="AC215" s="178"/>
      <c r="AD215" s="193"/>
      <c r="AE215" s="193"/>
      <c r="AF215" s="178"/>
      <c r="AG215" s="178"/>
      <c r="AH215" s="179"/>
      <c r="AI215" s="193"/>
      <c r="AJ215" s="178"/>
      <c r="AK215" s="178"/>
      <c r="AL215" s="220"/>
      <c r="AM215" s="220"/>
      <c r="AN215" s="229"/>
      <c r="AO215" s="178"/>
      <c r="AP215" s="178"/>
      <c r="AQ215" s="178"/>
    </row>
    <row r="216" spans="1:43">
      <c r="A216" s="173"/>
      <c r="B216" s="174"/>
      <c r="C216" s="195"/>
      <c r="D216" s="174"/>
      <c r="E216" s="174"/>
      <c r="F216" s="174"/>
      <c r="G216" s="176"/>
      <c r="H216" s="177"/>
      <c r="I216" s="177"/>
      <c r="J216" s="177"/>
      <c r="K216" s="177"/>
      <c r="L216" s="178"/>
      <c r="M216" s="178"/>
      <c r="N216" s="178"/>
      <c r="O216" s="178"/>
      <c r="P216" s="178"/>
      <c r="Q216" s="178"/>
      <c r="R216" s="178"/>
      <c r="S216" s="178"/>
      <c r="T216" s="178"/>
      <c r="U216" s="178"/>
      <c r="V216" s="178"/>
      <c r="W216" s="178"/>
      <c r="X216" s="178"/>
      <c r="Y216" s="178"/>
      <c r="Z216" s="178"/>
      <c r="AA216" s="178"/>
      <c r="AB216" s="178"/>
      <c r="AC216" s="178"/>
      <c r="AD216" s="193"/>
      <c r="AE216" s="193"/>
      <c r="AF216" s="178"/>
      <c r="AG216" s="178"/>
      <c r="AH216" s="179"/>
      <c r="AI216" s="193"/>
      <c r="AJ216" s="178"/>
      <c r="AK216" s="178"/>
      <c r="AL216" s="220"/>
      <c r="AM216" s="220"/>
      <c r="AN216" s="229"/>
      <c r="AO216" s="178"/>
      <c r="AP216" s="178"/>
      <c r="AQ216" s="178"/>
    </row>
    <row r="217" spans="1:43">
      <c r="A217" s="173"/>
      <c r="B217" s="174"/>
      <c r="C217" s="195"/>
      <c r="D217" s="174"/>
      <c r="E217" s="174"/>
      <c r="F217" s="174"/>
      <c r="G217" s="176"/>
      <c r="H217" s="177"/>
      <c r="I217" s="177"/>
      <c r="J217" s="177"/>
      <c r="K217" s="177"/>
      <c r="L217" s="178"/>
      <c r="M217" s="178"/>
      <c r="N217" s="178"/>
      <c r="O217" s="178"/>
      <c r="P217" s="178"/>
      <c r="Q217" s="178"/>
      <c r="R217" s="178"/>
      <c r="S217" s="178"/>
      <c r="T217" s="178"/>
      <c r="U217" s="178"/>
      <c r="V217" s="178"/>
      <c r="W217" s="178"/>
      <c r="X217" s="178"/>
      <c r="Y217" s="178"/>
      <c r="Z217" s="178"/>
      <c r="AA217" s="178"/>
      <c r="AB217" s="178"/>
      <c r="AC217" s="178"/>
      <c r="AD217" s="193"/>
      <c r="AE217" s="193"/>
      <c r="AF217" s="178"/>
      <c r="AG217" s="178"/>
      <c r="AH217" s="179"/>
      <c r="AI217" s="193"/>
      <c r="AJ217" s="178"/>
      <c r="AK217" s="178"/>
      <c r="AL217" s="220"/>
      <c r="AM217" s="220"/>
      <c r="AN217" s="229"/>
      <c r="AO217" s="178"/>
      <c r="AP217" s="178"/>
      <c r="AQ217" s="178"/>
    </row>
    <row r="218" spans="1:43">
      <c r="A218" s="173"/>
      <c r="B218" s="174"/>
      <c r="C218" s="195"/>
      <c r="D218" s="174"/>
      <c r="E218" s="174"/>
      <c r="F218" s="174"/>
      <c r="G218" s="176"/>
      <c r="H218" s="177"/>
      <c r="I218" s="177"/>
      <c r="J218" s="177"/>
      <c r="K218" s="177"/>
      <c r="L218" s="178"/>
      <c r="M218" s="178"/>
      <c r="N218" s="178"/>
      <c r="O218" s="178"/>
      <c r="P218" s="178"/>
      <c r="Q218" s="178"/>
      <c r="R218" s="178"/>
      <c r="S218" s="178"/>
      <c r="T218" s="178"/>
      <c r="U218" s="178"/>
      <c r="V218" s="178"/>
      <c r="W218" s="178"/>
      <c r="X218" s="178"/>
      <c r="Y218" s="178"/>
      <c r="Z218" s="178"/>
      <c r="AA218" s="178"/>
      <c r="AB218" s="178"/>
      <c r="AC218" s="178"/>
      <c r="AD218" s="193"/>
      <c r="AE218" s="193"/>
      <c r="AF218" s="178"/>
      <c r="AG218" s="178"/>
      <c r="AH218" s="179"/>
      <c r="AI218" s="193"/>
      <c r="AJ218" s="178"/>
      <c r="AK218" s="178"/>
      <c r="AL218" s="220"/>
      <c r="AM218" s="220"/>
      <c r="AN218" s="229"/>
      <c r="AO218" s="178"/>
      <c r="AP218" s="178"/>
      <c r="AQ218" s="178"/>
    </row>
    <row r="219" spans="1:43">
      <c r="A219" s="173"/>
      <c r="B219" s="174"/>
      <c r="C219" s="195"/>
      <c r="D219" s="174"/>
      <c r="E219" s="174"/>
      <c r="F219" s="174"/>
      <c r="G219" s="176"/>
      <c r="H219" s="177"/>
      <c r="I219" s="177"/>
      <c r="J219" s="177"/>
      <c r="K219" s="177"/>
      <c r="L219" s="178"/>
      <c r="M219" s="178"/>
      <c r="N219" s="178"/>
      <c r="O219" s="178"/>
      <c r="P219" s="178"/>
      <c r="Q219" s="178"/>
      <c r="R219" s="178"/>
      <c r="S219" s="178"/>
      <c r="T219" s="178"/>
      <c r="U219" s="178"/>
      <c r="V219" s="178"/>
      <c r="W219" s="178"/>
      <c r="X219" s="178"/>
      <c r="Y219" s="178"/>
      <c r="Z219" s="178"/>
      <c r="AA219" s="178"/>
      <c r="AB219" s="178"/>
      <c r="AC219" s="178"/>
      <c r="AD219" s="193"/>
      <c r="AE219" s="193"/>
      <c r="AF219" s="178"/>
      <c r="AG219" s="178"/>
      <c r="AH219" s="179"/>
      <c r="AI219" s="193"/>
      <c r="AJ219" s="178"/>
      <c r="AK219" s="178"/>
      <c r="AL219" s="220"/>
      <c r="AM219" s="220"/>
      <c r="AN219" s="229"/>
      <c r="AO219" s="178"/>
      <c r="AP219" s="178"/>
      <c r="AQ219" s="178"/>
    </row>
    <row r="220" spans="1:43">
      <c r="A220" s="173"/>
      <c r="B220" s="174"/>
      <c r="C220" s="195"/>
      <c r="D220" s="174"/>
      <c r="E220" s="174"/>
      <c r="F220" s="174"/>
      <c r="G220" s="176"/>
      <c r="H220" s="177"/>
      <c r="I220" s="177"/>
      <c r="J220" s="177"/>
      <c r="K220" s="177"/>
      <c r="L220" s="178"/>
      <c r="M220" s="178"/>
      <c r="N220" s="178"/>
      <c r="O220" s="178"/>
      <c r="P220" s="178"/>
      <c r="Q220" s="178"/>
      <c r="R220" s="178"/>
      <c r="S220" s="178"/>
      <c r="T220" s="178"/>
      <c r="U220" s="178"/>
      <c r="V220" s="178"/>
      <c r="W220" s="178"/>
      <c r="X220" s="178"/>
      <c r="Y220" s="178"/>
      <c r="Z220" s="178"/>
      <c r="AA220" s="178"/>
      <c r="AB220" s="178"/>
      <c r="AC220" s="178"/>
      <c r="AD220" s="193"/>
      <c r="AE220" s="193"/>
      <c r="AF220" s="178"/>
      <c r="AG220" s="178"/>
      <c r="AH220" s="179"/>
      <c r="AI220" s="193"/>
      <c r="AJ220" s="178"/>
      <c r="AK220" s="178"/>
      <c r="AL220" s="220"/>
      <c r="AM220" s="220"/>
      <c r="AN220" s="229"/>
      <c r="AO220" s="178"/>
      <c r="AP220" s="178"/>
      <c r="AQ220" s="178"/>
    </row>
    <row r="221" spans="1:43">
      <c r="A221" s="173"/>
      <c r="B221" s="174"/>
      <c r="C221" s="195"/>
      <c r="D221" s="174"/>
      <c r="E221" s="174"/>
      <c r="F221" s="174"/>
      <c r="G221" s="176"/>
      <c r="H221" s="177"/>
      <c r="I221" s="177"/>
      <c r="J221" s="177"/>
      <c r="K221" s="177"/>
      <c r="L221" s="178"/>
      <c r="M221" s="178"/>
      <c r="N221" s="178"/>
      <c r="O221" s="178"/>
      <c r="P221" s="178"/>
      <c r="Q221" s="178"/>
      <c r="R221" s="178"/>
      <c r="S221" s="178"/>
      <c r="T221" s="178"/>
      <c r="U221" s="178"/>
      <c r="V221" s="178"/>
      <c r="W221" s="178"/>
      <c r="X221" s="178"/>
      <c r="Y221" s="178"/>
      <c r="Z221" s="178"/>
      <c r="AA221" s="178"/>
      <c r="AB221" s="178"/>
      <c r="AC221" s="178"/>
      <c r="AD221" s="193"/>
      <c r="AE221" s="193"/>
      <c r="AF221" s="178"/>
      <c r="AG221" s="178"/>
      <c r="AH221" s="179"/>
      <c r="AI221" s="193"/>
      <c r="AJ221" s="178"/>
      <c r="AK221" s="178"/>
      <c r="AL221" s="220"/>
      <c r="AM221" s="220"/>
      <c r="AN221" s="229"/>
      <c r="AO221" s="178"/>
      <c r="AP221" s="178"/>
      <c r="AQ221" s="178"/>
    </row>
    <row r="222" spans="1:43">
      <c r="A222" s="173"/>
      <c r="B222" s="174"/>
      <c r="C222" s="195"/>
      <c r="D222" s="174"/>
      <c r="E222" s="174"/>
      <c r="F222" s="174"/>
      <c r="G222" s="176"/>
      <c r="H222" s="177"/>
      <c r="I222" s="177"/>
      <c r="J222" s="177"/>
      <c r="K222" s="177"/>
      <c r="L222" s="178"/>
      <c r="M222" s="178"/>
      <c r="N222" s="178"/>
      <c r="O222" s="178"/>
      <c r="P222" s="178"/>
      <c r="Q222" s="178"/>
      <c r="R222" s="178"/>
      <c r="S222" s="178"/>
      <c r="T222" s="178"/>
      <c r="U222" s="178"/>
      <c r="V222" s="178"/>
      <c r="W222" s="178"/>
      <c r="X222" s="178"/>
      <c r="Y222" s="178"/>
      <c r="Z222" s="178"/>
      <c r="AA222" s="178"/>
      <c r="AB222" s="178"/>
      <c r="AC222" s="178"/>
      <c r="AD222" s="193"/>
      <c r="AE222" s="193"/>
      <c r="AF222" s="178"/>
      <c r="AG222" s="178"/>
      <c r="AH222" s="179"/>
      <c r="AI222" s="193"/>
      <c r="AJ222" s="178"/>
      <c r="AK222" s="178"/>
      <c r="AL222" s="220"/>
      <c r="AM222" s="220"/>
      <c r="AN222" s="229"/>
      <c r="AO222" s="178"/>
      <c r="AP222" s="178"/>
      <c r="AQ222" s="178"/>
    </row>
    <row r="223" spans="1:43">
      <c r="A223" s="173"/>
      <c r="B223" s="174"/>
      <c r="C223" s="195"/>
      <c r="D223" s="174"/>
      <c r="E223" s="174"/>
      <c r="F223" s="174"/>
      <c r="G223" s="176"/>
      <c r="H223" s="177"/>
      <c r="I223" s="177"/>
      <c r="J223" s="177"/>
      <c r="K223" s="177"/>
      <c r="L223" s="178"/>
      <c r="M223" s="178"/>
      <c r="N223" s="178"/>
      <c r="O223" s="178"/>
      <c r="P223" s="178"/>
      <c r="Q223" s="178"/>
      <c r="R223" s="178"/>
      <c r="S223" s="178"/>
      <c r="T223" s="178"/>
      <c r="U223" s="178"/>
      <c r="V223" s="178"/>
      <c r="W223" s="178"/>
      <c r="X223" s="178"/>
      <c r="Y223" s="178"/>
      <c r="Z223" s="178"/>
      <c r="AA223" s="178"/>
      <c r="AB223" s="178"/>
      <c r="AC223" s="178"/>
      <c r="AD223" s="193"/>
      <c r="AE223" s="193"/>
      <c r="AF223" s="178"/>
      <c r="AG223" s="178"/>
      <c r="AH223" s="179"/>
      <c r="AI223" s="193"/>
      <c r="AJ223" s="178"/>
      <c r="AK223" s="178"/>
      <c r="AL223" s="220"/>
      <c r="AM223" s="220"/>
      <c r="AN223" s="229"/>
      <c r="AO223" s="178"/>
      <c r="AP223" s="178"/>
      <c r="AQ223" s="178"/>
    </row>
    <row r="224" spans="1:43">
      <c r="A224" s="173"/>
      <c r="B224" s="174"/>
      <c r="C224" s="195"/>
      <c r="D224" s="174"/>
      <c r="E224" s="174"/>
      <c r="F224" s="174"/>
      <c r="G224" s="176"/>
      <c r="H224" s="177"/>
      <c r="I224" s="177"/>
      <c r="J224" s="177"/>
      <c r="K224" s="177"/>
      <c r="L224" s="178"/>
      <c r="M224" s="178"/>
      <c r="N224" s="178"/>
      <c r="O224" s="178"/>
      <c r="P224" s="178"/>
      <c r="Q224" s="178"/>
      <c r="R224" s="178"/>
      <c r="S224" s="178"/>
      <c r="T224" s="178"/>
      <c r="U224" s="178"/>
      <c r="V224" s="178"/>
      <c r="W224" s="178"/>
      <c r="X224" s="178"/>
      <c r="Y224" s="178"/>
      <c r="Z224" s="178"/>
      <c r="AA224" s="178"/>
      <c r="AB224" s="178"/>
      <c r="AC224" s="178"/>
      <c r="AD224" s="193"/>
      <c r="AE224" s="193"/>
      <c r="AF224" s="178"/>
      <c r="AG224" s="178"/>
      <c r="AH224" s="179"/>
      <c r="AI224" s="193"/>
      <c r="AJ224" s="178"/>
      <c r="AK224" s="178"/>
      <c r="AL224" s="220"/>
      <c r="AM224" s="220"/>
      <c r="AN224" s="229"/>
      <c r="AO224" s="178"/>
      <c r="AP224" s="178"/>
      <c r="AQ224" s="178"/>
    </row>
    <row r="225" spans="1:43">
      <c r="A225" s="173"/>
      <c r="B225" s="174"/>
      <c r="C225" s="195"/>
      <c r="D225" s="174"/>
      <c r="E225" s="174"/>
      <c r="F225" s="174"/>
      <c r="G225" s="176"/>
      <c r="H225" s="177"/>
      <c r="I225" s="177"/>
      <c r="J225" s="177"/>
      <c r="K225" s="177"/>
      <c r="L225" s="178"/>
      <c r="M225" s="178"/>
      <c r="N225" s="178"/>
      <c r="O225" s="178"/>
      <c r="P225" s="178"/>
      <c r="Q225" s="178"/>
      <c r="R225" s="178"/>
      <c r="S225" s="178"/>
      <c r="T225" s="178"/>
      <c r="U225" s="178"/>
      <c r="V225" s="178"/>
      <c r="W225" s="178"/>
      <c r="X225" s="178"/>
      <c r="Y225" s="178"/>
      <c r="Z225" s="178"/>
      <c r="AA225" s="178"/>
      <c r="AB225" s="178"/>
      <c r="AC225" s="178"/>
      <c r="AD225" s="193"/>
      <c r="AE225" s="193"/>
      <c r="AF225" s="178"/>
      <c r="AG225" s="178"/>
      <c r="AH225" s="179"/>
      <c r="AI225" s="193"/>
      <c r="AJ225" s="178"/>
      <c r="AK225" s="178"/>
      <c r="AL225" s="220"/>
      <c r="AM225" s="220"/>
      <c r="AN225" s="229"/>
      <c r="AO225" s="178"/>
      <c r="AP225" s="178"/>
      <c r="AQ225" s="178"/>
    </row>
    <row r="226" spans="1:43">
      <c r="A226" s="173"/>
      <c r="B226" s="174"/>
      <c r="C226" s="195"/>
      <c r="D226" s="174"/>
      <c r="E226" s="174"/>
      <c r="F226" s="174"/>
      <c r="G226" s="176"/>
      <c r="H226" s="177"/>
      <c r="I226" s="177"/>
      <c r="J226" s="177"/>
      <c r="K226" s="177"/>
      <c r="L226" s="178"/>
      <c r="M226" s="178"/>
      <c r="N226" s="178"/>
      <c r="O226" s="178"/>
      <c r="P226" s="178"/>
      <c r="Q226" s="178"/>
      <c r="R226" s="178"/>
      <c r="S226" s="178"/>
      <c r="T226" s="178"/>
      <c r="U226" s="178"/>
      <c r="V226" s="178"/>
      <c r="W226" s="178"/>
      <c r="X226" s="178"/>
      <c r="Y226" s="178"/>
      <c r="Z226" s="178"/>
      <c r="AA226" s="178"/>
      <c r="AB226" s="178"/>
      <c r="AC226" s="178"/>
      <c r="AD226" s="193"/>
      <c r="AE226" s="193"/>
      <c r="AF226" s="178"/>
      <c r="AG226" s="178"/>
      <c r="AH226" s="179"/>
      <c r="AI226" s="193"/>
      <c r="AJ226" s="178"/>
      <c r="AK226" s="178"/>
      <c r="AL226" s="220"/>
      <c r="AM226" s="220"/>
      <c r="AN226" s="229"/>
      <c r="AO226" s="178"/>
      <c r="AP226" s="178"/>
      <c r="AQ226" s="178"/>
    </row>
    <row r="227" spans="1:43">
      <c r="A227" s="173"/>
      <c r="B227" s="174"/>
      <c r="C227" s="195"/>
      <c r="D227" s="174"/>
      <c r="E227" s="174"/>
      <c r="F227" s="174"/>
      <c r="G227" s="176"/>
      <c r="H227" s="177"/>
      <c r="I227" s="177"/>
      <c r="J227" s="177"/>
      <c r="K227" s="177"/>
      <c r="L227" s="178"/>
      <c r="M227" s="178"/>
      <c r="N227" s="178"/>
      <c r="O227" s="178"/>
      <c r="P227" s="178"/>
      <c r="Q227" s="178"/>
      <c r="R227" s="178"/>
      <c r="S227" s="178"/>
      <c r="T227" s="178"/>
      <c r="U227" s="178"/>
      <c r="V227" s="178"/>
      <c r="W227" s="178"/>
      <c r="X227" s="178"/>
      <c r="Y227" s="178"/>
      <c r="Z227" s="178"/>
      <c r="AA227" s="178"/>
      <c r="AB227" s="178"/>
      <c r="AC227" s="178"/>
      <c r="AD227" s="193"/>
      <c r="AE227" s="193"/>
      <c r="AF227" s="178"/>
      <c r="AG227" s="178"/>
      <c r="AH227" s="179"/>
      <c r="AI227" s="193"/>
      <c r="AJ227" s="178"/>
      <c r="AK227" s="178"/>
      <c r="AL227" s="220"/>
      <c r="AM227" s="220"/>
      <c r="AN227" s="229"/>
      <c r="AO227" s="178"/>
      <c r="AP227" s="178"/>
      <c r="AQ227" s="178"/>
    </row>
    <row r="228" spans="1:43">
      <c r="A228" s="173"/>
      <c r="B228" s="174"/>
      <c r="C228" s="195"/>
      <c r="D228" s="174"/>
      <c r="E228" s="174"/>
      <c r="F228" s="174"/>
      <c r="G228" s="176"/>
      <c r="H228" s="177"/>
      <c r="I228" s="177"/>
      <c r="J228" s="177"/>
      <c r="K228" s="177"/>
      <c r="L228" s="178"/>
      <c r="M228" s="178"/>
      <c r="N228" s="178"/>
      <c r="O228" s="178"/>
      <c r="P228" s="178"/>
      <c r="Q228" s="178"/>
      <c r="R228" s="178"/>
      <c r="S228" s="178"/>
      <c r="T228" s="178"/>
      <c r="U228" s="178"/>
      <c r="V228" s="178"/>
      <c r="W228" s="178"/>
      <c r="X228" s="178"/>
      <c r="Y228" s="178"/>
      <c r="Z228" s="178"/>
      <c r="AA228" s="178"/>
      <c r="AB228" s="178"/>
      <c r="AC228" s="178"/>
      <c r="AD228" s="193"/>
      <c r="AE228" s="193"/>
      <c r="AF228" s="178"/>
      <c r="AG228" s="178"/>
      <c r="AH228" s="179"/>
      <c r="AI228" s="193"/>
      <c r="AJ228" s="178"/>
      <c r="AK228" s="178"/>
      <c r="AL228" s="220"/>
      <c r="AM228" s="220"/>
      <c r="AN228" s="229"/>
      <c r="AO228" s="178"/>
      <c r="AP228" s="178"/>
      <c r="AQ228" s="178"/>
    </row>
    <row r="229" spans="1:43">
      <c r="A229" s="173"/>
      <c r="B229" s="174"/>
      <c r="C229" s="195"/>
      <c r="D229" s="174"/>
      <c r="E229" s="174"/>
      <c r="F229" s="174"/>
      <c r="G229" s="176"/>
      <c r="H229" s="177"/>
      <c r="I229" s="177"/>
      <c r="J229" s="177"/>
      <c r="K229" s="177"/>
      <c r="L229" s="178"/>
      <c r="M229" s="178"/>
      <c r="N229" s="178"/>
      <c r="O229" s="178"/>
      <c r="P229" s="178"/>
      <c r="Q229" s="178"/>
      <c r="R229" s="178"/>
      <c r="S229" s="178"/>
      <c r="T229" s="178"/>
      <c r="U229" s="178"/>
      <c r="V229" s="178"/>
      <c r="W229" s="178"/>
      <c r="X229" s="178"/>
      <c r="Y229" s="178"/>
      <c r="Z229" s="178"/>
      <c r="AA229" s="178"/>
      <c r="AB229" s="178"/>
      <c r="AC229" s="178"/>
      <c r="AD229" s="193"/>
      <c r="AE229" s="193"/>
      <c r="AF229" s="178"/>
      <c r="AG229" s="178"/>
      <c r="AH229" s="179"/>
      <c r="AI229" s="193"/>
      <c r="AJ229" s="178"/>
      <c r="AK229" s="178"/>
      <c r="AL229" s="220"/>
      <c r="AM229" s="220"/>
      <c r="AN229" s="229"/>
      <c r="AO229" s="178"/>
      <c r="AP229" s="178"/>
      <c r="AQ229" s="178"/>
    </row>
    <row r="230" spans="1:43">
      <c r="A230" s="173"/>
      <c r="B230" s="174"/>
      <c r="C230" s="195"/>
      <c r="D230" s="174"/>
      <c r="E230" s="174"/>
      <c r="F230" s="174"/>
      <c r="G230" s="176"/>
      <c r="H230" s="177"/>
      <c r="I230" s="177"/>
      <c r="J230" s="177"/>
      <c r="K230" s="177"/>
      <c r="L230" s="178"/>
      <c r="M230" s="178"/>
      <c r="N230" s="178"/>
      <c r="O230" s="178"/>
      <c r="P230" s="178"/>
      <c r="Q230" s="178"/>
      <c r="R230" s="178"/>
      <c r="S230" s="178"/>
      <c r="T230" s="178"/>
      <c r="U230" s="178"/>
      <c r="V230" s="178"/>
      <c r="W230" s="178"/>
      <c r="X230" s="178"/>
      <c r="Y230" s="178"/>
      <c r="Z230" s="178"/>
      <c r="AA230" s="178"/>
      <c r="AB230" s="178"/>
      <c r="AC230" s="178"/>
      <c r="AD230" s="193"/>
      <c r="AE230" s="193"/>
      <c r="AF230" s="178"/>
      <c r="AG230" s="178"/>
      <c r="AH230" s="179"/>
      <c r="AI230" s="193"/>
      <c r="AJ230" s="178"/>
      <c r="AK230" s="178"/>
      <c r="AL230" s="220"/>
      <c r="AM230" s="220"/>
      <c r="AN230" s="229"/>
      <c r="AO230" s="178"/>
      <c r="AP230" s="178"/>
      <c r="AQ230" s="178"/>
    </row>
    <row r="231" spans="1:43">
      <c r="A231" s="203"/>
      <c r="B231" s="204"/>
      <c r="C231" s="205"/>
      <c r="D231" s="204"/>
      <c r="E231" s="204"/>
      <c r="F231" s="204"/>
      <c r="G231" s="206"/>
      <c r="H231" s="207"/>
      <c r="I231" s="207"/>
      <c r="J231" s="207"/>
      <c r="K231" s="207"/>
      <c r="L231" s="208"/>
      <c r="M231" s="208"/>
      <c r="N231" s="208"/>
      <c r="O231" s="208"/>
      <c r="P231" s="208"/>
      <c r="Q231" s="208"/>
      <c r="R231" s="208"/>
      <c r="S231" s="208"/>
      <c r="T231" s="208"/>
      <c r="U231" s="208"/>
      <c r="V231" s="208"/>
      <c r="W231" s="208"/>
      <c r="X231" s="208"/>
      <c r="Y231" s="208"/>
      <c r="Z231" s="208"/>
      <c r="AA231" s="208"/>
      <c r="AB231" s="208"/>
      <c r="AC231" s="208"/>
      <c r="AD231" s="209"/>
      <c r="AE231" s="209"/>
      <c r="AF231" s="208"/>
      <c r="AG231" s="208"/>
      <c r="AH231" s="226"/>
      <c r="AI231" s="209"/>
      <c r="AJ231" s="208"/>
      <c r="AK231" s="208"/>
      <c r="AL231" s="221"/>
      <c r="AM231" s="221"/>
      <c r="AN231" s="230"/>
      <c r="AO231" s="208"/>
      <c r="AP231" s="208"/>
      <c r="AQ231" s="208"/>
    </row>
  </sheetData>
  <mergeCells count="4">
    <mergeCell ref="U2:W2"/>
    <mergeCell ref="X2:Z2"/>
    <mergeCell ref="AA2:AC2"/>
    <mergeCell ref="AD2:AF2"/>
  </mergeCells>
  <conditionalFormatting sqref="Q1:Q6 Q8:Q1048576">
    <cfRule type="cellIs" dxfId="53" priority="8" operator="equal">
      <formula>"NOT OK"</formula>
    </cfRule>
    <cfRule type="cellIs" dxfId="52" priority="9" operator="equal">
      <formula>"OK"</formula>
    </cfRule>
  </conditionalFormatting>
  <conditionalFormatting sqref="T1:T79 T81 T83:T1048576">
    <cfRule type="cellIs" dxfId="51" priority="6" operator="equal">
      <formula>"Closed"</formula>
    </cfRule>
    <cfRule type="cellIs" dxfId="50" priority="7" operator="equal">
      <formula>"Open"</formula>
    </cfRule>
  </conditionalFormatting>
  <conditionalFormatting sqref="AJ1:AJ1048576">
    <cfRule type="cellIs" dxfId="49" priority="2" operator="equal">
      <formula>"Pending"</formula>
    </cfRule>
    <cfRule type="cellIs" dxfId="48" priority="3" operator="equal">
      <formula>"Invoiced"</formula>
    </cfRule>
  </conditionalFormatting>
  <conditionalFormatting sqref="AP1:AP1048576">
    <cfRule type="cellIs" dxfId="47" priority="4" operator="equal">
      <formula>"Paid"</formula>
    </cfRule>
    <cfRule type="cellIs" dxfId="46" priority="5" operator="equal">
      <formula>"Pending"</formula>
    </cfRule>
  </conditionalFormatting>
  <conditionalFormatting sqref="AQ1:AQ1048576">
    <cfRule type="cellIs" dxfId="45" priority="1" operator="equal">
      <formula>"Past Due"</formula>
    </cfRule>
  </conditionalFormatting>
  <dataValidations count="6">
    <dataValidation type="list" allowBlank="1" showInputMessage="1" showErrorMessage="1" sqref="T1:T79 T81:T1048576" xr:uid="{638C35CF-7185-407E-A2A5-5346920B5668}">
      <formula1>"Open, Closed"</formula1>
    </dataValidation>
    <dataValidation type="list" allowBlank="1" showInputMessage="1" showErrorMessage="1" sqref="B3:B1048576" xr:uid="{A1657232-406D-4F4C-BF7D-24D0F5454D29}">
      <formula1>"ICT, FCT, FIX, IAT, SW, REPS"</formula1>
    </dataValidation>
    <dataValidation type="list" allowBlank="1" showInputMessage="1" showErrorMessage="1" sqref="D1:D1048576" xr:uid="{336F6676-730F-45EE-8773-B7ACFF193C8F}">
      <formula1>"Design, Debug, Install, Project, Razón Social,n/a"</formula1>
    </dataValidation>
    <dataValidation type="list" allowBlank="1" showInputMessage="1" showErrorMessage="1" sqref="AN1:AN1048576" xr:uid="{B655427E-B08E-4E45-AFFD-1501FC043B49}">
      <formula1>"0, 30, 45, 60, 90"</formula1>
    </dataValidation>
    <dataValidation type="list" allowBlank="1" showInputMessage="1" showErrorMessage="1" sqref="AP1:AP1048576" xr:uid="{A777A1BE-0E6E-4FE4-8CFD-8E09EEF6143E}">
      <formula1>"Pending, Paid"</formula1>
    </dataValidation>
    <dataValidation type="list" allowBlank="1" showInputMessage="1" showErrorMessage="1" sqref="AG1:AG1048576" xr:uid="{DCF25BE4-75C3-46B2-8EB0-104E3B39C2B7}">
      <formula1>"DP, DR, SAT, FAT,Delivery"</formula1>
    </dataValidation>
  </dataValidations>
  <pageMargins left="0.7" right="0.7" top="0.75" bottom="0.75" header="0.3" footer="0.3"/>
  <pageSetup orientation="portrait" r:id="rId1"/>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F671B-9322-40A4-8DB2-2FEFA757A8DB}">
  <sheetPr>
    <tabColor rgb="FF002060"/>
  </sheetPr>
  <dimension ref="A1"/>
  <sheetViews>
    <sheetView workbookViewId="0"/>
  </sheetViews>
  <sheetFormatPr defaultColWidth="9.140625" defaultRowHeight="1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7C2D5-C0B8-4119-84C6-5A8092F675F4}">
  <sheetPr>
    <tabColor rgb="FF002060"/>
  </sheetPr>
  <dimension ref="A3:B19"/>
  <sheetViews>
    <sheetView showGridLines="0" workbookViewId="0">
      <selection activeCell="A8" sqref="A8"/>
    </sheetView>
  </sheetViews>
  <sheetFormatPr defaultColWidth="9.140625" defaultRowHeight="15"/>
  <cols>
    <col min="1" max="1" width="17.42578125" bestFit="1" customWidth="1"/>
    <col min="2" max="2" width="18" bestFit="1" customWidth="1"/>
    <col min="3" max="3" width="18.85546875" bestFit="1" customWidth="1"/>
    <col min="4" max="4" width="8" bestFit="1" customWidth="1"/>
    <col min="5" max="8" width="5" bestFit="1" customWidth="1"/>
    <col min="9" max="9" width="8" bestFit="1" customWidth="1"/>
    <col min="10" max="10" width="7" bestFit="1" customWidth="1"/>
    <col min="11" max="11" width="8" bestFit="1" customWidth="1"/>
    <col min="12" max="13" width="5" bestFit="1" customWidth="1"/>
    <col min="14" max="15" width="8" bestFit="1" customWidth="1"/>
    <col min="16" max="16" width="7" bestFit="1" customWidth="1"/>
    <col min="17" max="17" width="8" bestFit="1" customWidth="1"/>
    <col min="18" max="19" width="9" bestFit="1" customWidth="1"/>
    <col min="20" max="21" width="8" bestFit="1" customWidth="1"/>
    <col min="22" max="24" width="9" bestFit="1" customWidth="1"/>
    <col min="25" max="25" width="8" bestFit="1" customWidth="1"/>
    <col min="26" max="34" width="9" bestFit="1" customWidth="1"/>
    <col min="35" max="35" width="6" bestFit="1" customWidth="1"/>
    <col min="36" max="41" width="9" bestFit="1" customWidth="1"/>
    <col min="42" max="42" width="6" bestFit="1" customWidth="1"/>
    <col min="43" max="43" width="9" bestFit="1" customWidth="1"/>
    <col min="44" max="44" width="6" bestFit="1" customWidth="1"/>
    <col min="45" max="45" width="8" bestFit="1" customWidth="1"/>
    <col min="46" max="46" width="9" bestFit="1" customWidth="1"/>
    <col min="47" max="47" width="8" bestFit="1" customWidth="1"/>
    <col min="48" max="49" width="9" bestFit="1" customWidth="1"/>
    <col min="50" max="51" width="10" bestFit="1" customWidth="1"/>
    <col min="52" max="52" width="1.7109375" bestFit="1" customWidth="1"/>
    <col min="53" max="53" width="7.140625" bestFit="1" customWidth="1"/>
    <col min="54" max="54" width="11" bestFit="1" customWidth="1"/>
  </cols>
  <sheetData>
    <row r="3" spans="1:2">
      <c r="A3" s="11" t="s">
        <v>473</v>
      </c>
      <c r="B3" t="s">
        <v>474</v>
      </c>
    </row>
    <row r="4" spans="1:2">
      <c r="A4" s="34" t="s">
        <v>108</v>
      </c>
      <c r="B4" s="200">
        <v>552179.84</v>
      </c>
    </row>
    <row r="5" spans="1:2">
      <c r="A5" s="34" t="s">
        <v>444</v>
      </c>
      <c r="B5" s="200">
        <v>151548.69</v>
      </c>
    </row>
    <row r="6" spans="1:2">
      <c r="A6" s="34" t="s">
        <v>381</v>
      </c>
      <c r="B6" s="200">
        <v>148116.96</v>
      </c>
    </row>
    <row r="7" spans="1:2">
      <c r="A7" s="34" t="s">
        <v>240</v>
      </c>
      <c r="B7" s="200">
        <v>144380.82</v>
      </c>
    </row>
    <row r="8" spans="1:2">
      <c r="A8" s="34" t="s">
        <v>112</v>
      </c>
      <c r="B8" s="200">
        <v>129479.33000000002</v>
      </c>
    </row>
    <row r="9" spans="1:2">
      <c r="A9" s="34" t="s">
        <v>477</v>
      </c>
      <c r="B9" s="200">
        <v>121520.72</v>
      </c>
    </row>
    <row r="10" spans="1:2">
      <c r="A10" s="34" t="s">
        <v>415</v>
      </c>
      <c r="B10" s="200">
        <v>117000.87</v>
      </c>
    </row>
    <row r="11" spans="1:2">
      <c r="A11" s="34" t="s">
        <v>141</v>
      </c>
      <c r="B11" s="200">
        <v>34794.11</v>
      </c>
    </row>
    <row r="12" spans="1:2">
      <c r="A12" s="34" t="s">
        <v>75</v>
      </c>
      <c r="B12" s="200">
        <v>27908.32</v>
      </c>
    </row>
    <row r="13" spans="1:2">
      <c r="A13" s="34" t="s">
        <v>485</v>
      </c>
      <c r="B13" s="200">
        <v>24594.22</v>
      </c>
    </row>
    <row r="14" spans="1:2">
      <c r="A14" s="34" t="s">
        <v>488</v>
      </c>
      <c r="B14" s="200">
        <v>14104.18</v>
      </c>
    </row>
    <row r="15" spans="1:2">
      <c r="A15" s="34" t="s">
        <v>452</v>
      </c>
      <c r="B15" s="200">
        <v>13007.8</v>
      </c>
    </row>
    <row r="16" spans="1:2">
      <c r="A16" s="34" t="s">
        <v>351</v>
      </c>
      <c r="B16" s="200">
        <v>9747.4699999999993</v>
      </c>
    </row>
    <row r="17" spans="1:2">
      <c r="A17" s="34" t="s">
        <v>248</v>
      </c>
      <c r="B17" s="200">
        <v>8600</v>
      </c>
    </row>
    <row r="18" spans="1:2">
      <c r="A18" s="34" t="s">
        <v>486</v>
      </c>
      <c r="B18" s="200"/>
    </row>
    <row r="19" spans="1:2">
      <c r="A19" s="34" t="s">
        <v>296</v>
      </c>
      <c r="B19" s="200">
        <v>1496983.33</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A5537-BE28-42F5-B999-DC6EC6C90666}">
  <dimension ref="A1:K19"/>
  <sheetViews>
    <sheetView zoomScale="145" zoomScaleNormal="145" workbookViewId="0">
      <selection activeCell="F13" sqref="F13:H16"/>
    </sheetView>
  </sheetViews>
  <sheetFormatPr defaultColWidth="9.140625" defaultRowHeight="15"/>
  <cols>
    <col min="1" max="1" width="15.42578125" bestFit="1" customWidth="1"/>
    <col min="2" max="2" width="16.85546875" bestFit="1" customWidth="1"/>
    <col min="3" max="3" width="18" customWidth="1"/>
    <col min="4" max="4" width="18.140625" customWidth="1"/>
    <col min="5" max="5" width="20.85546875" bestFit="1" customWidth="1"/>
    <col min="6" max="6" width="3.5703125" bestFit="1" customWidth="1"/>
    <col min="7" max="7" width="10.7109375" bestFit="1" customWidth="1"/>
    <col min="8" max="9" width="12.7109375" bestFit="1" customWidth="1"/>
    <col min="10" max="10" width="13.5703125" customWidth="1"/>
    <col min="11" max="11" width="10.85546875" bestFit="1" customWidth="1"/>
  </cols>
  <sheetData>
    <row r="1" spans="1:11">
      <c r="A1" s="11" t="s">
        <v>599</v>
      </c>
      <c r="B1" t="s">
        <v>297</v>
      </c>
    </row>
    <row r="2" spans="1:11">
      <c r="A2" s="11" t="s">
        <v>600</v>
      </c>
      <c r="B2" t="s">
        <v>601</v>
      </c>
    </row>
    <row r="3" spans="1:11">
      <c r="A3" s="11" t="s">
        <v>0</v>
      </c>
      <c r="B3" t="s">
        <v>601</v>
      </c>
    </row>
    <row r="4" spans="1:11">
      <c r="A4" s="11" t="s">
        <v>7</v>
      </c>
      <c r="B4" t="s">
        <v>108</v>
      </c>
    </row>
    <row r="5" spans="1:11">
      <c r="A5" s="11" t="s">
        <v>602</v>
      </c>
      <c r="B5" t="s">
        <v>601</v>
      </c>
    </row>
    <row r="7" spans="1:11">
      <c r="A7" s="11" t="s">
        <v>473</v>
      </c>
      <c r="B7" t="s">
        <v>474</v>
      </c>
      <c r="C7" t="s">
        <v>603</v>
      </c>
      <c r="D7" t="s">
        <v>604</v>
      </c>
      <c r="E7" t="s">
        <v>605</v>
      </c>
      <c r="G7" t="s">
        <v>606</v>
      </c>
      <c r="H7" t="s">
        <v>607</v>
      </c>
      <c r="I7" t="s">
        <v>603</v>
      </c>
      <c r="J7" t="s">
        <v>608</v>
      </c>
      <c r="K7" t="s">
        <v>609</v>
      </c>
    </row>
    <row r="8" spans="1:11">
      <c r="A8" s="34" t="s">
        <v>44</v>
      </c>
      <c r="B8" s="12">
        <v>144722.44</v>
      </c>
      <c r="C8" s="12">
        <v>125050.52860004839</v>
      </c>
      <c r="D8" s="12">
        <v>19672.145000000004</v>
      </c>
      <c r="E8" s="234">
        <v>0.13444751420605977</v>
      </c>
      <c r="G8" s="234">
        <v>0.05</v>
      </c>
      <c r="H8" s="235">
        <f>+GETPIVOTDATA("Sum of PO Amount",$A$7,"Main BU","FIX")-(GETPIVOTDATA("Sum of PO Amount",$A$7,"Main BU","FIX")*G8)</f>
        <v>137486.318</v>
      </c>
      <c r="I8" s="235">
        <f>+GETPIVOTDATA("Expense",$A$7,"Main BU","FIX")</f>
        <v>125050.52860004839</v>
      </c>
      <c r="J8" s="12">
        <f>+H8-I8</f>
        <v>12435.789399951609</v>
      </c>
      <c r="K8" s="236">
        <f>+J8/H8</f>
        <v>9.0451105105248425E-2</v>
      </c>
    </row>
    <row r="9" spans="1:11">
      <c r="A9" s="34" t="s">
        <v>63</v>
      </c>
      <c r="B9" s="12">
        <v>356967.89</v>
      </c>
      <c r="C9" s="12">
        <v>118415.90000000001</v>
      </c>
      <c r="D9" s="12">
        <v>238551.98499999999</v>
      </c>
      <c r="E9" s="234">
        <v>0.745401320925549</v>
      </c>
      <c r="G9" s="234">
        <v>0.05</v>
      </c>
      <c r="H9" s="235">
        <f>+GETPIVOTDATA("Sum of PO Amount",$A$7,"Main BU","ICT")-(GETPIVOTDATA("Sum of PO Amount",$A$7,"Main BU","ICT")*G9)</f>
        <v>339119.49550000002</v>
      </c>
      <c r="I9" s="235">
        <f>+GETPIVOTDATA("Expense",$A$7,"Main BU","ICT")</f>
        <v>118415.90000000001</v>
      </c>
      <c r="J9" s="12">
        <f>+H9-I9</f>
        <v>220703.5955</v>
      </c>
      <c r="K9" s="236">
        <f>+J9/H9</f>
        <v>0.65081364660145291</v>
      </c>
    </row>
    <row r="10" spans="1:11">
      <c r="A10" s="34" t="s">
        <v>296</v>
      </c>
      <c r="B10" s="12">
        <v>501690.33</v>
      </c>
      <c r="C10" s="12">
        <v>243466.42860004838</v>
      </c>
      <c r="D10" s="12">
        <v>258224.13</v>
      </c>
      <c r="E10" s="234">
        <v>0.61677946687934071</v>
      </c>
      <c r="H10" s="12">
        <f>+H8+H9</f>
        <v>476605.81350000005</v>
      </c>
      <c r="I10" s="12">
        <f>+I8+I9</f>
        <v>243466.42860004841</v>
      </c>
      <c r="J10" s="12">
        <f>+H10-I10</f>
        <v>233139.38489995163</v>
      </c>
      <c r="K10" s="236">
        <f>+J10/H10</f>
        <v>0.48916605357343507</v>
      </c>
    </row>
    <row r="11" spans="1:11">
      <c r="E11" s="236"/>
    </row>
    <row r="13" spans="1:11">
      <c r="I13" t="s">
        <v>610</v>
      </c>
    </row>
    <row r="14" spans="1:11">
      <c r="C14" t="s">
        <v>152</v>
      </c>
      <c r="G14" t="s">
        <v>611</v>
      </c>
      <c r="H14" s="234">
        <v>0.03</v>
      </c>
    </row>
    <row r="15" spans="1:11">
      <c r="C15" t="s">
        <v>612</v>
      </c>
      <c r="G15" t="s">
        <v>613</v>
      </c>
      <c r="H15" s="234">
        <v>0.05</v>
      </c>
    </row>
    <row r="16" spans="1:11">
      <c r="B16" t="s">
        <v>614</v>
      </c>
      <c r="G16" t="s">
        <v>615</v>
      </c>
      <c r="H16" s="234">
        <v>0.08</v>
      </c>
    </row>
    <row r="17" spans="2:3">
      <c r="B17" t="s">
        <v>616</v>
      </c>
      <c r="C17" s="234">
        <v>0.03</v>
      </c>
    </row>
    <row r="18" spans="2:3">
      <c r="B18" t="s">
        <v>617</v>
      </c>
      <c r="C18" s="234">
        <v>0.05</v>
      </c>
    </row>
    <row r="19" spans="2:3">
      <c r="B19" t="s">
        <v>618</v>
      </c>
      <c r="C19" s="234">
        <v>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59acbf3-697c-4cdc-89a6-8a33fc3c21e6">
      <Terms xmlns="http://schemas.microsoft.com/office/infopath/2007/PartnerControls"/>
    </lcf76f155ced4ddcb4097134ff3c332f>
    <TaxCatchAll xmlns="caf8a2a9-d283-4d69-a44f-bf13743108e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3F3A862BA1ADC4F9DDDC4D751DD301B" ma:contentTypeVersion="12" ma:contentTypeDescription="Crear nuevo documento." ma:contentTypeScope="" ma:versionID="1e813ef934c78d2c6e0f1a278dfc7693">
  <xsd:schema xmlns:xsd="http://www.w3.org/2001/XMLSchema" xmlns:xs="http://www.w3.org/2001/XMLSchema" xmlns:p="http://schemas.microsoft.com/office/2006/metadata/properties" xmlns:ns2="459acbf3-697c-4cdc-89a6-8a33fc3c21e6" xmlns:ns3="caf8a2a9-d283-4d69-a44f-bf13743108e6" targetNamespace="http://schemas.microsoft.com/office/2006/metadata/properties" ma:root="true" ma:fieldsID="be61f5629c75c3696be7900f790f6786" ns2:_="" ns3:_="">
    <xsd:import namespace="459acbf3-697c-4cdc-89a6-8a33fc3c21e6"/>
    <xsd:import namespace="caf8a2a9-d283-4d69-a44f-bf13743108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9acbf3-697c-4cdc-89a6-8a33fc3c21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351f5677-5b7d-41a6-9d28-c0c39b502ab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af8a2a9-d283-4d69-a44f-bf13743108e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e795580c-590a-49d1-a701-a1427b817975}" ma:internalName="TaxCatchAll" ma:showField="CatchAllData" ma:web="caf8a2a9-d283-4d69-a44f-bf13743108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87E105-AE65-4EBD-8586-30C7E99B32F9}"/>
</file>

<file path=customXml/itemProps2.xml><?xml version="1.0" encoding="utf-8"?>
<ds:datastoreItem xmlns:ds="http://schemas.openxmlformats.org/officeDocument/2006/customXml" ds:itemID="{C9B558FF-A185-487F-8249-1347CF83C2EF}"/>
</file>

<file path=customXml/itemProps3.xml><?xml version="1.0" encoding="utf-8"?>
<ds:datastoreItem xmlns:ds="http://schemas.openxmlformats.org/officeDocument/2006/customXml" ds:itemID="{8D3B49DE-87FE-4AFF-833E-76213135D95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Fernanda Flores</dc:creator>
  <cp:keywords/>
  <dc:description/>
  <cp:lastModifiedBy/>
  <cp:revision/>
  <dcterms:created xsi:type="dcterms:W3CDTF">2023-07-07T17:36:37Z</dcterms:created>
  <dcterms:modified xsi:type="dcterms:W3CDTF">2025-11-11T23:49:58Z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0x01010073F3A862BA1ADC4F9DDDC4D751DD301B</vt:lpwstr>
  </property>
  <property fmtid="{D5CDD505-2E9C-101B-9397-08002B2CF9AE}" pid="3" name="Order">
    <vt:r8>3200</vt:r8>
  </property>
  <property fmtid="{D5CDD505-2E9C-101B-9397-08002B2CF9AE}" pid="4" name="MediaServiceImageTags">
    <vt:lpwstr/>
  </property>
</Properties>
</file>